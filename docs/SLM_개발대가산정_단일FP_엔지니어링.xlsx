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총괄표" sheetId="1" state="visible" r:id="rId1"/>
    <sheet name="FP산정(간이법)" sheetId="2" state="visible" r:id="rId2"/>
    <sheet name="SW개발비 산정" sheetId="3" state="visible" r:id="rId3"/>
    <sheet name="(참조)보정계수" sheetId="4" state="visible" r:id="rId4"/>
    <sheet name="직접경비" sheetId="5" state="visible" r:id="rId5"/>
    <sheet name="엔지니어링 내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4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2" max="2"/>
    <col width="44" customWidth="1" min="3" max="3"/>
    <col width="20" customWidth="1" min="4" max="4"/>
    <col width="34" customWidth="1" min="5" max="5"/>
  </cols>
  <sheetData>
    <row r="1">
      <c r="B1" s="1" t="inlineStr">
        <is>
          <t>SLM 스마트 물관리 시스템 — 개발대가 산정 총괄표</t>
        </is>
      </c>
    </row>
    <row r="2">
      <c r="B2" s="2" t="inlineStr">
        <is>
          <t>산정 기준: SW사업 대가산정 가이드(KOSA) 단일 FP유형(간이법) + 엔지니어링(SW기술자 평균임금 2025)</t>
        </is>
      </c>
    </row>
    <row r="3">
      <c r="B3" s="2" t="inlineStr">
        <is>
          <t>기능 기준일: 2026-10-15 (메뉴 57종 · AI 채팅 인텐트 81종 · Migration 0143)</t>
        </is>
      </c>
    </row>
    <row r="5">
      <c r="A5" t="inlineStr"/>
      <c r="B5" s="3" t="inlineStr">
        <is>
          <t>구분</t>
        </is>
      </c>
      <c r="C5" s="3" t="inlineStr">
        <is>
          <t>산정 방법</t>
        </is>
      </c>
      <c r="D5" s="3" t="inlineStr">
        <is>
          <t>금액(원)</t>
        </is>
      </c>
      <c r="E5" s="3" t="inlineStr">
        <is>
          <t>비고</t>
        </is>
      </c>
    </row>
    <row r="6">
      <c r="B6" s="4" t="inlineStr">
        <is>
          <t>① 소프트웨어 개발비</t>
        </is>
      </c>
      <c r="C6" s="4" t="inlineStr">
        <is>
          <t>기능점수(FP) × 단가 × 보정계수 + 이윤</t>
        </is>
      </c>
      <c r="D6" s="4">
        <f>'SW개발비 산정'!I11</f>
        <v/>
      </c>
      <c r="E6" s="4" t="inlineStr">
        <is>
          <t>FP산정(간이법)·SW개발비 산정 시트</t>
        </is>
      </c>
    </row>
    <row r="7">
      <c r="B7" s="4" t="inlineStr">
        <is>
          <t>② 구축·설치 엔지니어링</t>
        </is>
      </c>
      <c r="C7" s="4" t="inlineStr">
        <is>
          <t>M/M × SW기술자 평균임금 + 제경비 + 기술료</t>
        </is>
      </c>
      <c r="D7" s="4">
        <f>'엔지니어링 내역'!H25</f>
        <v/>
      </c>
      <c r="E7" s="4" t="inlineStr">
        <is>
          <t>엔지니어링 내역 시트</t>
        </is>
      </c>
    </row>
    <row r="8">
      <c r="B8" s="5" t="inlineStr">
        <is>
          <t>합계 (부가세 별도)</t>
        </is>
      </c>
      <c r="C8" s="5" t="n"/>
      <c r="D8" s="5">
        <f>SUM(D6:D7)</f>
        <v/>
      </c>
      <c r="E8" s="5" t="n"/>
    </row>
    <row r="10">
      <c r="B10" s="2" t="inlineStr">
        <is>
          <t>※ 기능점수당 단가는 KOSA 2024 가이드(605,784원) 기준 — 최신 공표 단가 확인 후 'SW개발비 산정'!C7 갱신</t>
        </is>
      </c>
    </row>
    <row r="11">
      <c r="B11" s="2" t="inlineStr">
        <is>
          <t>※ 하드웨어·상용SW 구입비, 유지관리(운영)비는 본 산정 범위 외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H15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4" customWidth="1" min="4" max="4"/>
    <col width="58" customWidth="1" min="5" max="5"/>
    <col width="9" customWidth="1" min="6" max="6"/>
    <col width="9" customWidth="1" min="7" max="7"/>
    <col width="11" customWidth="1" min="8" max="8"/>
    <col width="10" customWidth="1" min="9" max="9"/>
  </cols>
  <sheetData>
    <row r="1">
      <c r="B1" s="1" t="inlineStr">
        <is>
          <t>기능점수 산정 (간이법 평균복잡도 적용)</t>
        </is>
      </c>
    </row>
    <row r="3">
      <c r="A3" t="inlineStr"/>
      <c r="B3" s="3" t="inlineStr">
        <is>
          <t>기능명</t>
        </is>
      </c>
      <c r="C3" s="3" t="inlineStr"/>
      <c r="D3" s="3" t="inlineStr"/>
      <c r="E3" s="3" t="inlineStr">
        <is>
          <t>데이터 및 트랜잭션 기능</t>
        </is>
      </c>
      <c r="F3" s="3" t="inlineStr">
        <is>
          <t>FP 산출</t>
        </is>
      </c>
      <c r="G3" s="3" t="inlineStr">
        <is>
          <t>사용자관점 기능</t>
        </is>
      </c>
      <c r="H3" s="3" t="inlineStr">
        <is>
          <t>비고</t>
        </is>
      </c>
    </row>
    <row r="4">
      <c r="A4" t="inlineStr"/>
      <c r="B4" s="3" t="inlineStr">
        <is>
          <t>①어플리케이션명</t>
        </is>
      </c>
      <c r="C4" s="3" t="inlineStr">
        <is>
          <t>②세부 업무명</t>
        </is>
      </c>
      <c r="D4" s="3" t="inlineStr">
        <is>
          <t>③단위프로세스명</t>
        </is>
      </c>
      <c r="E4" s="3" t="inlineStr">
        <is>
          <t>단위프로세스 설명</t>
        </is>
      </c>
      <c r="F4" s="3" t="inlineStr">
        <is>
          <t>④FP유형</t>
        </is>
      </c>
      <c r="G4" s="3" t="inlineStr">
        <is>
          <t>⑤가중치</t>
        </is>
      </c>
      <c r="H4" s="3" t="inlineStr"/>
    </row>
    <row r="5">
      <c r="B5" s="6" t="inlineStr">
        <is>
          <t xml:space="preserve"> &lt; SLM 스마트 물관리 시스템 &gt; </t>
        </is>
      </c>
      <c r="C5" s="7" t="inlineStr">
        <is>
          <t>1. 실시간 감시</t>
        </is>
      </c>
      <c r="D5" s="6" t="n"/>
      <c r="E5" s="6" t="n"/>
      <c r="F5" s="6" t="n"/>
      <c r="G5" s="6" t="n"/>
      <c r="H5" s="6" t="n"/>
    </row>
    <row r="6">
      <c r="B6" s="4" t="n"/>
      <c r="C6" s="4" t="n"/>
      <c r="D6" s="8" t="inlineStr">
        <is>
          <t>통합 대시보드</t>
        </is>
      </c>
      <c r="E6" s="8" t="inlineStr">
        <is>
          <t>시설유형별 KPI·이상 시설·유량 불균형·설비 장애·최근 경보 종합 표출</t>
        </is>
      </c>
      <c r="F6" s="4" t="inlineStr">
        <is>
          <t>EO</t>
        </is>
      </c>
      <c r="G6" s="4">
        <f>IF(F6="","",IF(F6="EI",4,IF(F6="EO",5.2,IF(F6="EQ",3.9,IF(F6="ILF",7.5,IF(F6="EIF",5.4,""))))))</f>
        <v/>
      </c>
      <c r="H6" s="4" t="inlineStr">
        <is>
          <t>Y</t>
        </is>
      </c>
    </row>
    <row r="7">
      <c r="B7" s="4" t="n"/>
      <c r="C7" s="4" t="n"/>
      <c r="D7" s="8" t="inlineStr">
        <is>
          <t>대시보드 집계 데이터</t>
        </is>
      </c>
      <c r="E7" s="8" t="inlineStr">
        <is>
          <t>이상 스캔·물수지·장애 집계 캐시 (디스크 영속화 포함)</t>
        </is>
      </c>
      <c r="F7" s="4" t="inlineStr">
        <is>
          <t>ILF</t>
        </is>
      </c>
      <c r="G7" s="4">
        <f>IF(F7="","",IF(F7="EI",4,IF(F7="EO",5.2,IF(F7="EQ",3.9,IF(F7="ILF",7.5,IF(F7="EIF",5.4,""))))))</f>
        <v/>
      </c>
      <c r="H7" s="4" t="inlineStr">
        <is>
          <t>Y</t>
        </is>
      </c>
    </row>
    <row r="8">
      <c r="B8" s="4" t="n"/>
      <c r="C8" s="4" t="n"/>
      <c r="D8" s="8" t="inlineStr">
        <is>
          <t>시작 페이지</t>
        </is>
      </c>
      <c r="E8" s="8" t="inlineStr">
        <is>
          <t>로그인 후 첫 화면(랜딩) 구성·바로가기</t>
        </is>
      </c>
      <c r="F8" s="4" t="inlineStr">
        <is>
          <t>EQ</t>
        </is>
      </c>
      <c r="G8" s="4">
        <f>IF(F8="","",IF(F8="EI",4,IF(F8="EO",5.2,IF(F8="EQ",3.9,IF(F8="ILF",7.5,IF(F8="EIF",5.4,""))))))</f>
        <v/>
      </c>
      <c r="H8" s="4" t="inlineStr"/>
    </row>
    <row r="9">
      <c r="B9" s="4" t="n"/>
      <c r="C9" s="4" t="n"/>
      <c r="D9" s="8" t="inlineStr">
        <is>
          <t>GIS 관망도</t>
        </is>
      </c>
      <c r="E9" s="8" t="inlineStr">
        <is>
          <t>오프라인 지도 위 시설·관로·블록 레이어와 실시간 상태 표출</t>
        </is>
      </c>
      <c r="F9" s="4" t="inlineStr">
        <is>
          <t>EO</t>
        </is>
      </c>
      <c r="G9" s="4">
        <f>IF(F9="","",IF(F9="EI",4,IF(F9="EO",5.2,IF(F9="EQ",3.9,IF(F9="ILF",7.5,IF(F9="EIF",5.4,""))))))</f>
        <v/>
      </c>
      <c r="H9" s="4" t="inlineStr">
        <is>
          <t>Y</t>
        </is>
      </c>
    </row>
    <row r="10">
      <c r="B10" s="4" t="n"/>
      <c r="C10" s="4" t="n"/>
      <c r="D10" s="8" t="inlineStr">
        <is>
          <t>GIS 시설 상세 팝업</t>
        </is>
      </c>
      <c r="E10" s="8" t="inlineStr">
        <is>
          <t>시설 클릭 → 현재값·경보·바로가기 팝업</t>
        </is>
      </c>
      <c r="F10" s="4" t="inlineStr">
        <is>
          <t>EQ</t>
        </is>
      </c>
      <c r="G10" s="4">
        <f>IF(F10="","",IF(F10="EI",4,IF(F10="EO",5.2,IF(F10="EQ",3.9,IF(F10="ILF",7.5,IF(F10="EIF",5.4,""))))))</f>
        <v/>
      </c>
      <c r="H10" s="4" t="inlineStr"/>
    </row>
    <row r="11">
      <c r="B11" s="4" t="n"/>
      <c r="C11" s="4" t="n"/>
      <c r="D11" s="8" t="inlineStr">
        <is>
          <t>GIS 타임라인 스크러버</t>
        </is>
      </c>
      <c r="E11" s="8" t="inlineStr">
        <is>
          <t>24h 되감기/재생·배속·알람 도트</t>
        </is>
      </c>
      <c r="F11" s="4" t="inlineStr">
        <is>
          <t>EO</t>
        </is>
      </c>
      <c r="G11" s="4">
        <f>IF(F11="","",IF(F11="EI",4,IF(F11="EO",5.2,IF(F11="EQ",3.9,IF(F11="ILF",7.5,IF(F11="EIF",5.4,""))))))</f>
        <v/>
      </c>
      <c r="H11" s="4" t="inlineStr"/>
    </row>
    <row r="12">
      <c r="B12" s="4" t="n"/>
      <c r="C12" s="4" t="n"/>
      <c r="D12" s="8" t="inlineStr">
        <is>
          <t>GIS 시설 좌표 관리</t>
        </is>
      </c>
      <c r="E12" s="8" t="inlineStr">
        <is>
          <t>시설 좌표 등록·수정 (지도 설정)</t>
        </is>
      </c>
      <c r="F12" s="4" t="inlineStr">
        <is>
          <t>EI</t>
        </is>
      </c>
      <c r="G12" s="4">
        <f>IF(F12="","",IF(F12="EI",4,IF(F12="EO",5.2,IF(F12="EQ",3.9,IF(F12="ILF",7.5,IF(F12="EIF",5.4,""))))))</f>
        <v/>
      </c>
      <c r="H12" s="4" t="inlineStr"/>
    </row>
    <row r="13">
      <c r="B13" s="4" t="n"/>
      <c r="C13" s="4" t="n"/>
      <c r="D13" s="8" t="inlineStr">
        <is>
          <t>실시간 계통도</t>
        </is>
      </c>
      <c r="E13" s="8" t="inlineStr">
        <is>
          <t>SVG 계통도·유량 비례 엣지·흐름 애니메이션·미니맵·검색</t>
        </is>
      </c>
      <c r="F13" s="4" t="inlineStr">
        <is>
          <t>EO</t>
        </is>
      </c>
      <c r="G13" s="4">
        <f>IF(F13="","",IF(F13="EI",4,IF(F13="EO",5.2,IF(F13="EQ",3.9,IF(F13="ILF",7.5,IF(F13="EIF",5.4,""))))))</f>
        <v/>
      </c>
      <c r="H13" s="4" t="inlineStr">
        <is>
          <t>Y</t>
        </is>
      </c>
    </row>
    <row r="14">
      <c r="B14" s="4" t="n"/>
      <c r="C14" s="4" t="n"/>
      <c r="D14" s="8" t="inlineStr">
        <is>
          <t>계통도 노드 상세</t>
        </is>
      </c>
      <c r="E14" s="8" t="inlineStr">
        <is>
          <t>노드별 Q/H/P 수치 오버레이·트렌드 패널</t>
        </is>
      </c>
      <c r="F14" s="4" t="inlineStr">
        <is>
          <t>EQ</t>
        </is>
      </c>
      <c r="G14" s="4">
        <f>IF(F14="","",IF(F14="EI",4,IF(F14="EO",5.2,IF(F14="EQ",3.9,IF(F14="ILF",7.5,IF(F14="EIF",5.4,""))))))</f>
        <v/>
      </c>
      <c r="H14" s="4" t="inlineStr"/>
    </row>
    <row r="15">
      <c r="B15" s="4" t="n"/>
      <c r="C15" s="4" t="n"/>
      <c r="D15" s="8" t="inlineStr">
        <is>
          <t>태그 모니터링</t>
        </is>
      </c>
      <c r="E15" s="8" t="inlineStr">
        <is>
          <t>모니터링 그룹 현재값·이상 카테고리 9종 필터·정렬·우클릭 트렌드</t>
        </is>
      </c>
      <c r="F15" s="4" t="inlineStr">
        <is>
          <t>EO</t>
        </is>
      </c>
      <c r="G15" s="4">
        <f>IF(F15="","",IF(F15="EI",4,IF(F15="EO",5.2,IF(F15="EQ",3.9,IF(F15="ILF",7.5,IF(F15="EIF",5.4,""))))))</f>
        <v/>
      </c>
      <c r="H15" s="4" t="inlineStr">
        <is>
          <t>Y</t>
        </is>
      </c>
    </row>
    <row r="16">
      <c r="B16" s="4" t="n"/>
      <c r="C16" s="4" t="n"/>
      <c r="D16" s="8" t="inlineStr">
        <is>
          <t>시설별 모니터링(배수지)</t>
        </is>
      </c>
      <c r="E16" s="8" t="inlineStr">
        <is>
          <t>배수지 트렌드·HH/LL 가이드·재생·시간 네비게이션</t>
        </is>
      </c>
      <c r="F16" s="4" t="inlineStr">
        <is>
          <t>EO</t>
        </is>
      </c>
      <c r="G16" s="4">
        <f>IF(F16="","",IF(F16="EI",4,IF(F16="EO",5.2,IF(F16="EQ",3.9,IF(F16="ILF",7.5,IF(F16="EIF",5.4,""))))))</f>
        <v/>
      </c>
      <c r="H16" s="4" t="inlineStr">
        <is>
          <t>Y</t>
        </is>
      </c>
    </row>
    <row r="17">
      <c r="B17" s="4" t="n"/>
      <c r="C17" s="4" t="n"/>
      <c r="D17" s="8" t="inlineStr">
        <is>
          <t>시설별 모니터링(가압장)</t>
        </is>
      </c>
      <c r="E17" s="8" t="inlineStr">
        <is>
          <t>가압장 펌프·압력·유량 트렌드 모니터링</t>
        </is>
      </c>
      <c r="F17" s="4" t="inlineStr">
        <is>
          <t>EO</t>
        </is>
      </c>
      <c r="G17" s="4">
        <f>IF(F17="","",IF(F17="EI",4,IF(F17="EO",5.2,IF(F17="EQ",3.9,IF(F17="ILF",7.5,IF(F17="EIF",5.4,""))))))</f>
        <v/>
      </c>
      <c r="H17" s="4" t="inlineStr"/>
    </row>
    <row r="18">
      <c r="B18" s="4" t="n"/>
      <c r="C18" s="4" t="n"/>
      <c r="D18" s="8" t="inlineStr">
        <is>
          <t>시설별 모니터링(블록)</t>
        </is>
      </c>
      <c r="E18" s="8" t="inlineStr">
        <is>
          <t>블록 유량·압력 트렌드 모니터링</t>
        </is>
      </c>
      <c r="F18" s="4" t="inlineStr">
        <is>
          <t>EO</t>
        </is>
      </c>
      <c r="G18" s="4">
        <f>IF(F18="","",IF(F18="EI",4,IF(F18="EO",5.2,IF(F18="EQ",3.9,IF(F18="ILF",7.5,IF(F18="EIF",5.4,""))))))</f>
        <v/>
      </c>
      <c r="H18" s="4" t="inlineStr"/>
    </row>
    <row r="19">
      <c r="B19" s="4" t="n"/>
      <c r="C19" s="4" t="n"/>
      <c r="D19" s="8" t="inlineStr">
        <is>
          <t>모니터링 임계 설정</t>
        </is>
      </c>
      <c r="E19" s="8" t="inlineStr">
        <is>
          <t>HH/LL 임계 듀얼모드(상수/태그참조) 설정</t>
        </is>
      </c>
      <c r="F19" s="4" t="inlineStr">
        <is>
          <t>EI</t>
        </is>
      </c>
      <c r="G19" s="4">
        <f>IF(F19="","",IF(F19="EI",4,IF(F19="EO",5.2,IF(F19="EQ",3.9,IF(F19="ILF",7.5,IF(F19="EIF",5.4,""))))))</f>
        <v/>
      </c>
      <c r="H19" s="4" t="inlineStr"/>
    </row>
    <row r="20">
      <c r="B20" s="4" t="n"/>
      <c r="C20" s="4" t="n"/>
      <c r="D20" s="8" t="inlineStr">
        <is>
          <t>상황실 키오스크</t>
        </is>
      </c>
      <c r="E20" s="8" t="inlineStr">
        <is>
          <t>기존 화면 iframe 상주 순환·크롬 제거·하단 바(시계·티커)</t>
        </is>
      </c>
      <c r="F20" s="4" t="inlineStr">
        <is>
          <t>EO</t>
        </is>
      </c>
      <c r="G20" s="4">
        <f>IF(F20="","",IF(F20="EI",4,IF(F20="EO",5.2,IF(F20="EQ",3.9,IF(F20="ILF",7.5,IF(F20="EIF",5.4,""))))))</f>
        <v/>
      </c>
      <c r="H20" s="4" t="inlineStr">
        <is>
          <t>Y</t>
        </is>
      </c>
    </row>
    <row r="21">
      <c r="B21" s="4" t="n"/>
      <c r="C21" s="4" t="n"/>
      <c r="D21" s="8" t="inlineStr">
        <is>
          <t>키오스크 경보 인터럽트</t>
        </is>
      </c>
      <c r="E21" s="8" t="inlineStr">
        <is>
          <t>새 경고 감지 시 경보 화면 전환·배너·재인터럽트 방지</t>
        </is>
      </c>
      <c r="F21" s="4" t="inlineStr">
        <is>
          <t>EO</t>
        </is>
      </c>
      <c r="G21" s="4">
        <f>IF(F21="","",IF(F21="EI",4,IF(F21="EO",5.2,IF(F21="EQ",3.9,IF(F21="ILF",7.5,IF(F21="EIF",5.4,""))))))</f>
        <v/>
      </c>
      <c r="H21" s="4" t="inlineStr"/>
    </row>
    <row r="22">
      <c r="B22" s="4" t="n"/>
      <c r="C22" s="4" t="n"/>
      <c r="D22" s="8" t="inlineStr">
        <is>
          <t>키오스크 설정</t>
        </is>
      </c>
      <c r="E22" s="8" t="inlineStr">
        <is>
          <t>순환 화면 목록·순서, 야간 밝기, KPI 스트립 설정</t>
        </is>
      </c>
      <c r="F22" s="4" t="inlineStr">
        <is>
          <t>EI</t>
        </is>
      </c>
      <c r="G22" s="4">
        <f>IF(F22="","",IF(F22="EI",4,IF(F22="EO",5.2,IF(F22="EQ",3.9,IF(F22="ILF",7.5,IF(F22="EIF",5.4,""))))))</f>
        <v/>
      </c>
      <c r="H22" s="4" t="inlineStr"/>
    </row>
    <row r="23">
      <c r="B23" s="6" t="n"/>
      <c r="C23" s="7" t="inlineStr">
        <is>
          <t>2. 경보 관리</t>
        </is>
      </c>
      <c r="D23" s="6" t="n"/>
      <c r="E23" s="6" t="n"/>
      <c r="F23" s="6" t="n"/>
      <c r="G23" s="6" t="n"/>
      <c r="H23" s="6" t="n"/>
    </row>
    <row r="24">
      <c r="B24" s="4" t="n"/>
      <c r="C24" s="4" t="n"/>
      <c r="D24" s="8" t="inlineStr">
        <is>
          <t>경보 데이터</t>
        </is>
      </c>
      <c r="E24" s="8" t="inlineStr">
        <is>
          <t>경보 발생·해제·확인·판정 이력 (하이퍼테이블 연계)</t>
        </is>
      </c>
      <c r="F24" s="4" t="inlineStr">
        <is>
          <t>ILF</t>
        </is>
      </c>
      <c r="G24" s="4">
        <f>IF(F24="","",IF(F24="EI",4,IF(F24="EO",5.2,IF(F24="EQ",3.9,IF(F24="ILF",7.5,IF(F24="EIF",5.4,""))))))</f>
        <v/>
      </c>
      <c r="H24" s="4" t="inlineStr">
        <is>
          <t>Y</t>
        </is>
      </c>
    </row>
    <row r="25">
      <c r="B25" s="4" t="n"/>
      <c r="C25" s="4" t="n"/>
      <c r="D25" s="8" t="inlineStr">
        <is>
          <t>진행중 경보 현황</t>
        </is>
      </c>
      <c r="E25" s="8" t="inlineStr">
        <is>
          <t>진행중 경보 목록·반복 경보 접기(반복 N회)·심각도 구분</t>
        </is>
      </c>
      <c r="F25" s="4" t="inlineStr">
        <is>
          <t>EO</t>
        </is>
      </c>
      <c r="G25" s="4">
        <f>IF(F25="","",IF(F25="EI",4,IF(F25="EO",5.2,IF(F25="EQ",3.9,IF(F25="ILF",7.5,IF(F25="EIF",5.4,""))))))</f>
        <v/>
      </c>
      <c r="H25" s="4" t="inlineStr">
        <is>
          <t>Y</t>
        </is>
      </c>
    </row>
    <row r="26">
      <c r="B26" s="4" t="n"/>
      <c r="C26" s="4" t="n"/>
      <c r="D26" s="8" t="inlineStr">
        <is>
          <t>경보 이력 조회</t>
        </is>
      </c>
      <c r="E26" s="8" t="inlineStr">
        <is>
          <t>기간·등급·시설 필터 경보 이력 조회</t>
        </is>
      </c>
      <c r="F26" s="4" t="inlineStr">
        <is>
          <t>EQ</t>
        </is>
      </c>
      <c r="G26" s="4">
        <f>IF(F26="","",IF(F26="EI",4,IF(F26="EO",5.2,IF(F26="EQ",3.9,IF(F26="ILF",7.5,IF(F26="EIF",5.4,""))))))</f>
        <v/>
      </c>
      <c r="H26" s="4" t="inlineStr"/>
    </row>
    <row r="27">
      <c r="B27" s="4" t="n"/>
      <c r="C27" s="4" t="n"/>
      <c r="D27" s="8" t="inlineStr">
        <is>
          <t>반복 경보 순위</t>
        </is>
      </c>
      <c r="E27" s="8" t="inlineStr">
        <is>
          <t>채터링/만성 판정·순위표·조치 구분 제시</t>
        </is>
      </c>
      <c r="F27" s="4" t="inlineStr">
        <is>
          <t>EO</t>
        </is>
      </c>
      <c r="G27" s="4">
        <f>IF(F27="","",IF(F27="EI",4,IF(F27="EO",5.2,IF(F27="EQ",3.9,IF(F27="ILF",7.5,IF(F27="EIF",5.4,""))))))</f>
        <v/>
      </c>
      <c r="H27" s="4" t="inlineStr"/>
    </row>
    <row r="28">
      <c r="B28" s="4" t="n"/>
      <c r="C28" s="4" t="n"/>
      <c r="D28" s="8" t="inlineStr">
        <is>
          <t>경보 확인 처리</t>
        </is>
      </c>
      <c r="E28" s="8" t="inlineStr">
        <is>
          <t>확인/해제 기록·최초 확인자 책임 추적</t>
        </is>
      </c>
      <c r="F28" s="4" t="inlineStr">
        <is>
          <t>EI</t>
        </is>
      </c>
      <c r="G28" s="4">
        <f>IF(F28="","",IF(F28="EI",4,IF(F28="EO",5.2,IF(F28="EQ",3.9,IF(F28="ILF",7.5,IF(F28="EIF",5.4,""))))))</f>
        <v/>
      </c>
      <c r="H28" s="4" t="inlineStr"/>
    </row>
    <row r="29">
      <c r="B29" s="4" t="n"/>
      <c r="C29" s="4" t="n"/>
      <c r="D29" s="8" t="inlineStr">
        <is>
          <t>미확인 경보 상신</t>
        </is>
      </c>
      <c r="E29" s="8" t="inlineStr">
        <is>
          <t>경고 N분 미확인 시 전체 채널 1회 멱등 상신</t>
        </is>
      </c>
      <c r="F29" s="4" t="inlineStr">
        <is>
          <t>EO</t>
        </is>
      </c>
      <c r="G29" s="4">
        <f>IF(F29="","",IF(F29="EI",4,IF(F29="EO",5.2,IF(F29="EQ",3.9,IF(F29="ILF",7.5,IF(F29="EIF",5.4,""))))))</f>
        <v/>
      </c>
      <c r="H29" s="4" t="inlineStr"/>
    </row>
    <row r="30">
      <c r="B30" s="4" t="n"/>
      <c r="C30" s="4" t="n"/>
      <c r="D30" s="8" t="inlineStr">
        <is>
          <t>경보 분석 상세</t>
        </is>
      </c>
      <c r="E30" s="8" t="inlineStr">
        <is>
          <t>근본원인 분류·위기대응 섹션·연관 비상연락처 매칭</t>
        </is>
      </c>
      <c r="F30" s="4" t="inlineStr">
        <is>
          <t>EO</t>
        </is>
      </c>
      <c r="G30" s="4">
        <f>IF(F30="","",IF(F30="EI",4,IF(F30="EO",5.2,IF(F30="EQ",3.9,IF(F30="ILF",7.5,IF(F30="EIF",5.4,""))))))</f>
        <v/>
      </c>
      <c r="H30" s="4" t="inlineStr">
        <is>
          <t>Y</t>
        </is>
      </c>
    </row>
    <row r="31">
      <c r="B31" s="4" t="n"/>
      <c r="C31" s="4" t="n"/>
      <c r="D31" s="8" t="inlineStr">
        <is>
          <t>근본원인 자동 분류</t>
        </is>
      </c>
      <c r="E31" s="8" t="inlineStr">
        <is>
          <t>경보 발생 원인 자동 분류 (주기 작업)</t>
        </is>
      </c>
      <c r="F31" s="4" t="inlineStr">
        <is>
          <t>EO</t>
        </is>
      </c>
      <c r="G31" s="4">
        <f>IF(F31="","",IF(F31="EI",4,IF(F31="EO",5.2,IF(F31="EQ",3.9,IF(F31="ILF",7.5,IF(F31="EIF",5.4,""))))))</f>
        <v/>
      </c>
      <c r="H31" s="4" t="inlineStr"/>
    </row>
    <row r="32">
      <c r="B32" s="4" t="n"/>
      <c r="C32" s="4" t="n"/>
      <c r="D32" s="8" t="inlineStr">
        <is>
          <t>오탐 라벨 판정</t>
        </is>
      </c>
      <c r="E32" s="8" t="inlineStr">
        <is>
          <t>3분법(real/false/check) 1클릭 판정·백필 체계</t>
        </is>
      </c>
      <c r="F32" s="4" t="inlineStr">
        <is>
          <t>EI</t>
        </is>
      </c>
      <c r="G32" s="4">
        <f>IF(F32="","",IF(F32="EI",4,IF(F32="EO",5.2,IF(F32="EQ",3.9,IF(F32="ILF",7.5,IF(F32="EIF",5.4,""))))))</f>
        <v/>
      </c>
      <c r="H32" s="4" t="inlineStr"/>
    </row>
    <row r="33">
      <c r="B33" s="4" t="n"/>
      <c r="C33" s="4" t="n"/>
      <c r="D33" s="8" t="inlineStr">
        <is>
          <t>오탐 분석 통계</t>
        </is>
      </c>
      <c r="E33" s="8" t="inlineStr">
        <is>
          <t>주별 오탐률 추이·분류별 현황</t>
        </is>
      </c>
      <c r="F33" s="4" t="inlineStr">
        <is>
          <t>EO</t>
        </is>
      </c>
      <c r="G33" s="4">
        <f>IF(F33="","",IF(F33="EI",4,IF(F33="EO",5.2,IF(F33="EQ",3.9,IF(F33="ILF",7.5,IF(F33="EIF",5.4,""))))))</f>
        <v/>
      </c>
      <c r="H33" s="4" t="inlineStr"/>
    </row>
    <row r="34">
      <c r="B34" s="4" t="n"/>
      <c r="C34" s="4" t="n"/>
      <c r="D34" s="8" t="inlineStr">
        <is>
          <t>임계 도달 예측</t>
        </is>
      </c>
      <c r="E34" s="8" t="inlineStr">
        <is>
          <t>수위 LEI↔LEC 페어 선형 외삽·ETA 구간 표시</t>
        </is>
      </c>
      <c r="F34" s="4" t="inlineStr">
        <is>
          <t>EO</t>
        </is>
      </c>
      <c r="G34" s="4">
        <f>IF(F34="","",IF(F34="EI",4,IF(F34="EO",5.2,IF(F34="EQ",3.9,IF(F34="ILF",7.5,IF(F34="EIF",5.4,""))))))</f>
        <v/>
      </c>
      <c r="H34" s="4" t="inlineStr"/>
    </row>
    <row r="35">
      <c r="B35" s="4" t="n"/>
      <c r="C35" s="4" t="n"/>
      <c r="D35" s="8" t="inlineStr">
        <is>
          <t>알람 캘린더</t>
        </is>
      </c>
      <c r="E35" s="8" t="inlineStr">
        <is>
          <t>일자별 경보 발생 캘린더 조회</t>
        </is>
      </c>
      <c r="F35" s="4" t="inlineStr">
        <is>
          <t>EQ</t>
        </is>
      </c>
      <c r="G35" s="4">
        <f>IF(F35="","",IF(F35="EI",4,IF(F35="EO",5.2,IF(F35="EQ",3.9,IF(F35="ILF",7.5,IF(F35="EIF",5.4,""))))))</f>
        <v/>
      </c>
      <c r="H35" s="4" t="inlineStr"/>
    </row>
    <row r="36">
      <c r="B36" s="4" t="n"/>
      <c r="C36" s="4" t="n"/>
      <c r="D36" s="8" t="inlineStr">
        <is>
          <t>알람 팝업(위기대응 모달)</t>
        </is>
      </c>
      <c r="E36" s="8" t="inlineStr">
        <is>
          <t>새 경고 감지 → 모달 강제(주의는 toast)·4액션</t>
        </is>
      </c>
      <c r="F36" s="4" t="inlineStr">
        <is>
          <t>EO</t>
        </is>
      </c>
      <c r="G36" s="4">
        <f>IF(F36="","",IF(F36="EI",4,IF(F36="EO",5.2,IF(F36="EQ",3.9,IF(F36="ILF",7.5,IF(F36="EIF",5.4,""))))))</f>
        <v/>
      </c>
      <c r="H36" s="4" t="inlineStr">
        <is>
          <t>Y</t>
        </is>
      </c>
    </row>
    <row r="37">
      <c r="B37" s="4" t="n"/>
      <c r="C37" s="4" t="n"/>
      <c r="D37" s="8" t="inlineStr">
        <is>
          <t>누수 의심 알림</t>
        </is>
      </c>
      <c r="E37" s="8" t="inlineStr">
        <is>
          <t>야간최소유량 CUSUM 자동 감지·선정 사유 서술·확인 처리</t>
        </is>
      </c>
      <c r="F37" s="4" t="inlineStr">
        <is>
          <t>EO</t>
        </is>
      </c>
      <c r="G37" s="4">
        <f>IF(F37="","",IF(F37="EI",4,IF(F37="EO",5.2,IF(F37="EQ",3.9,IF(F37="ILF",7.5,IF(F37="EIF",5.4,""))))))</f>
        <v/>
      </c>
      <c r="H37" s="4" t="inlineStr">
        <is>
          <t>Y</t>
        </is>
      </c>
    </row>
    <row r="38">
      <c r="B38" s="4" t="n"/>
      <c r="C38" s="4" t="n"/>
      <c r="D38" s="8" t="inlineStr">
        <is>
          <t>누수 알림 확인 처리</t>
        </is>
      </c>
      <c r="E38" s="8" t="inlineStr">
        <is>
          <t>누수 의심 건 확인·상태 변경</t>
        </is>
      </c>
      <c r="F38" s="4" t="inlineStr">
        <is>
          <t>EI</t>
        </is>
      </c>
      <c r="G38" s="4">
        <f>IF(F38="","",IF(F38="EI",4,IF(F38="EO",5.2,IF(F38="EQ",3.9,IF(F38="ILF",7.5,IF(F38="EIF",5.4,""))))))</f>
        <v/>
      </c>
      <c r="H38" s="4" t="inlineStr"/>
    </row>
    <row r="39">
      <c r="B39" s="4" t="n"/>
      <c r="C39" s="4" t="n"/>
      <c r="D39" s="8" t="inlineStr">
        <is>
          <t>작업관리</t>
        </is>
      </c>
      <c r="E39" s="8" t="inlineStr">
        <is>
          <t>작업 등록·조회·알람 억제 시간 설정</t>
        </is>
      </c>
      <c r="F39" s="4" t="inlineStr">
        <is>
          <t>EI</t>
        </is>
      </c>
      <c r="G39" s="4">
        <f>IF(F39="","",IF(F39="EI",4,IF(F39="EO",5.2,IF(F39="EQ",3.9,IF(F39="ILF",7.5,IF(F39="EIF",5.4,""))))))</f>
        <v/>
      </c>
      <c r="H39" s="4" t="inlineStr">
        <is>
          <t>Y</t>
        </is>
      </c>
    </row>
    <row r="40">
      <c r="B40" s="4" t="n"/>
      <c r="C40" s="4" t="n"/>
      <c r="D40" s="8" t="inlineStr">
        <is>
          <t>작업 이력 데이터</t>
        </is>
      </c>
      <c r="E40" s="8" t="inlineStr">
        <is>
          <t>작업·조치 이력 (장애 기록과 연계)</t>
        </is>
      </c>
      <c r="F40" s="4" t="inlineStr">
        <is>
          <t>ILF</t>
        </is>
      </c>
      <c r="G40" s="4">
        <f>IF(F40="","",IF(F40="EI",4,IF(F40="EO",5.2,IF(F40="EQ",3.9,IF(F40="ILF",7.5,IF(F40="EIF",5.4,""))))))</f>
        <v/>
      </c>
      <c r="H40" s="4" t="inlineStr"/>
    </row>
    <row r="41">
      <c r="B41" s="4" t="n"/>
      <c r="C41" s="4" t="n"/>
      <c r="D41" s="8" t="inlineStr">
        <is>
          <t>펌프 가동 변경</t>
        </is>
      </c>
      <c r="E41" s="8" t="inlineStr">
        <is>
          <t>펌프 제어모드·가동 변경 기록 관리</t>
        </is>
      </c>
      <c r="F41" s="4" t="inlineStr">
        <is>
          <t>EI</t>
        </is>
      </c>
      <c r="G41" s="4">
        <f>IF(F41="","",IF(F41="EI",4,IF(F41="EO",5.2,IF(F41="EQ",3.9,IF(F41="ILF",7.5,IF(F41="EIF",5.4,""))))))</f>
        <v/>
      </c>
      <c r="H41" s="4" t="inlineStr"/>
    </row>
    <row r="42">
      <c r="B42" s="4" t="n"/>
      <c r="C42" s="4" t="n"/>
      <c r="D42" s="8" t="inlineStr">
        <is>
          <t>시나리오 비교</t>
        </is>
      </c>
      <c r="E42" s="8" t="inlineStr">
        <is>
          <t>경보 시나리오 간 비교 분석 화면</t>
        </is>
      </c>
      <c r="F42" s="4" t="inlineStr">
        <is>
          <t>EO</t>
        </is>
      </c>
      <c r="G42" s="4">
        <f>IF(F42="","",IF(F42="EI",4,IF(F42="EO",5.2,IF(F42="EQ",3.9,IF(F42="ILF",7.5,IF(F42="EIF",5.4,""))))))</f>
        <v/>
      </c>
      <c r="H42" s="4" t="inlineStr"/>
    </row>
    <row r="43">
      <c r="B43" s="6" t="n"/>
      <c r="C43" s="7" t="inlineStr">
        <is>
          <t>3. AI 채팅 어시스턴트</t>
        </is>
      </c>
      <c r="D43" s="6" t="n"/>
      <c r="E43" s="6" t="n"/>
      <c r="F43" s="6" t="n"/>
      <c r="G43" s="6" t="n"/>
      <c r="H43" s="6" t="n"/>
    </row>
    <row r="44">
      <c r="B44" s="4" t="n"/>
      <c r="C44" s="4" t="n"/>
      <c r="D44" s="8" t="inlineStr">
        <is>
          <t>채팅 질의 처리(SSE)</t>
        </is>
      </c>
      <c r="E44" s="8" t="inlineStr">
        <is>
          <t>3단계 인텐트 분류(키워드→벡터→SLM)·SQL 실행·SSE 스트리밍, 81 인텐트</t>
        </is>
      </c>
      <c r="F44" s="4" t="inlineStr">
        <is>
          <t>EO</t>
        </is>
      </c>
      <c r="G44" s="4">
        <f>IF(F44="","",IF(F44="EI",4,IF(F44="EO",5.2,IF(F44="EQ",3.9,IF(F44="ILF",7.5,IF(F44="EIF",5.4,""))))))</f>
        <v/>
      </c>
      <c r="H44" s="4" t="inlineStr">
        <is>
          <t>Y</t>
        </is>
      </c>
    </row>
    <row r="45">
      <c r="B45" s="4" t="n"/>
      <c r="C45" s="4" t="n"/>
      <c r="D45" s="8" t="inlineStr">
        <is>
          <t>인텐트 정의 데이터</t>
        </is>
      </c>
      <c r="E45" s="8" t="inlineStr">
        <is>
          <t>인텐트 레지스트리(JSON 선언·분류 키워드·동적 SQL)</t>
        </is>
      </c>
      <c r="F45" s="4" t="inlineStr">
        <is>
          <t>ILF</t>
        </is>
      </c>
      <c r="G45" s="4">
        <f>IF(F45="","",IF(F45="EI",4,IF(F45="EO",5.2,IF(F45="EQ",3.9,IF(F45="ILF",7.5,IF(F45="EIF",5.4,""))))))</f>
        <v/>
      </c>
      <c r="H45" s="4" t="inlineStr">
        <is>
          <t>Y</t>
        </is>
      </c>
    </row>
    <row r="46">
      <c r="B46" s="4" t="n"/>
      <c r="C46" s="4" t="n"/>
      <c r="D46" s="8" t="inlineStr">
        <is>
          <t>인텐트 벡터 검색</t>
        </is>
      </c>
      <c r="E46" s="8" t="inlineStr">
        <is>
          <t>로컬 임베딩 모델 기반 유사도 분류 (외부 API 없음)</t>
        </is>
      </c>
      <c r="F46" s="4" t="inlineStr">
        <is>
          <t>EIF</t>
        </is>
      </c>
      <c r="G46" s="4">
        <f>IF(F46="","",IF(F46="EI",4,IF(F46="EO",5.2,IF(F46="EQ",3.9,IF(F46="ILF",7.5,IF(F46="EIF",5.4,""))))))</f>
        <v/>
      </c>
      <c r="H46" s="4" t="inlineStr"/>
    </row>
    <row r="47">
      <c r="B47" s="4" t="n"/>
      <c r="C47" s="4" t="n"/>
      <c r="D47" s="8" t="inlineStr">
        <is>
          <t>채팅 시각화 렌더링</t>
        </is>
      </c>
      <c r="E47" s="8" t="inlineStr">
        <is>
          <t>그래프·테이블·다이어그램·문서 카드 자동 라우팅</t>
        </is>
      </c>
      <c r="F47" s="4" t="inlineStr">
        <is>
          <t>EO</t>
        </is>
      </c>
      <c r="G47" s="4">
        <f>IF(F47="","",IF(F47="EI",4,IF(F47="EO",5.2,IF(F47="EQ",3.9,IF(F47="ILF",7.5,IF(F47="EIF",5.4,""))))))</f>
        <v/>
      </c>
      <c r="H47" s="4" t="inlineStr">
        <is>
          <t>Y</t>
        </is>
      </c>
    </row>
    <row r="48">
      <c r="B48" s="4" t="n"/>
      <c r="C48" s="4" t="n"/>
      <c r="D48" s="8" t="inlineStr">
        <is>
          <t>채팅 대화 이력(서버)</t>
        </is>
      </c>
      <c r="E48" s="8" t="inlineStr">
        <is>
          <t>계정별 대화 그룹·메시지 서버 저장·본문 검색·30일 purge</t>
        </is>
      </c>
      <c r="F48" s="4" t="inlineStr">
        <is>
          <t>ILF</t>
        </is>
      </c>
      <c r="G48" s="4">
        <f>IF(F48="","",IF(F48="EI",4,IF(F48="EO",5.2,IF(F48="EQ",3.9,IF(F48="ILF",7.5,IF(F48="EIF",5.4,""))))))</f>
        <v/>
      </c>
      <c r="H48" s="4" t="inlineStr">
        <is>
          <t>Y</t>
        </is>
      </c>
    </row>
    <row r="49">
      <c r="B49" s="4" t="n"/>
      <c r="C49" s="4" t="n"/>
      <c r="D49" s="8" t="inlineStr">
        <is>
          <t>채팅 이력 조회</t>
        </is>
      </c>
      <c r="E49" s="8" t="inlineStr">
        <is>
          <t>대화 목록·검색·차트 재렌더링</t>
        </is>
      </c>
      <c r="F49" s="4" t="inlineStr">
        <is>
          <t>EQ</t>
        </is>
      </c>
      <c r="G49" s="4">
        <f>IF(F49="","",IF(F49="EI",4,IF(F49="EO",5.2,IF(F49="EQ",3.9,IF(F49="ILF",7.5,IF(F49="EIF",5.4,""))))))</f>
        <v/>
      </c>
      <c r="H49" s="4" t="inlineStr"/>
    </row>
    <row r="50">
      <c r="B50" s="4" t="n"/>
      <c r="C50" s="4" t="n"/>
      <c r="D50" s="8" t="inlineStr">
        <is>
          <t>추천 질의</t>
        </is>
      </c>
      <c r="E50" s="8" t="inlineStr">
        <is>
          <t>인텐트별 후속 추천·현장명 자동 보강</t>
        </is>
      </c>
      <c r="F50" s="4" t="inlineStr">
        <is>
          <t>EO</t>
        </is>
      </c>
      <c r="G50" s="4">
        <f>IF(F50="","",IF(F50="EI",4,IF(F50="EO",5.2,IF(F50="EQ",3.9,IF(F50="ILF",7.5,IF(F50="EIF",5.4,""))))))</f>
        <v/>
      </c>
      <c r="H50" s="4" t="inlineStr"/>
    </row>
    <row r="51">
      <c r="B51" s="4" t="n"/>
      <c r="C51" s="4" t="n"/>
      <c r="D51" s="8" t="inlineStr">
        <is>
          <t>오답 피드백 루프</t>
        </is>
      </c>
      <c r="E51" s="8" t="inlineStr">
        <is>
          <t>원하는 답이 아닌가요 → 후보 제시·피드백 수집·보정</t>
        </is>
      </c>
      <c r="F51" s="4" t="inlineStr">
        <is>
          <t>EI</t>
        </is>
      </c>
      <c r="G51" s="4">
        <f>IF(F51="","",IF(F51="EI",4,IF(F51="EO",5.2,IF(F51="EQ",3.9,IF(F51="ILF",7.5,IF(F51="EIF",5.4,""))))))</f>
        <v/>
      </c>
      <c r="H51" s="4" t="inlineStr">
        <is>
          <t>Y</t>
        </is>
      </c>
    </row>
    <row r="52">
      <c r="B52" s="4" t="n"/>
      <c r="C52" s="4" t="n"/>
      <c r="D52" s="8" t="inlineStr">
        <is>
          <t>멀티턴 후속질문</t>
        </is>
      </c>
      <c r="E52" s="8" t="inlineStr">
        <is>
          <t>짧은 후속질문 인텐트 상속·지표 명사 가드</t>
        </is>
      </c>
      <c r="F52" s="4" t="inlineStr">
        <is>
          <t>EO</t>
        </is>
      </c>
      <c r="G52" s="4">
        <f>IF(F52="","",IF(F52="EI",4,IF(F52="EO",5.2,IF(F52="EQ",3.9,IF(F52="ILF",7.5,IF(F52="EIF",5.4,""))))))</f>
        <v/>
      </c>
      <c r="H52" s="4" t="inlineStr"/>
    </row>
    <row r="53">
      <c r="B53" s="4" t="n"/>
      <c r="C53" s="4" t="n"/>
      <c r="D53" s="8" t="inlineStr">
        <is>
          <t>멀티모달 사진 진단</t>
        </is>
      </c>
      <c r="E53" s="8" t="inlineStr">
        <is>
          <t>채팅 사진 업로드 → 장비 식별·매뉴얼 RAG·케이스 DB 통합 진단</t>
        </is>
      </c>
      <c r="F53" s="4" t="inlineStr">
        <is>
          <t>EO</t>
        </is>
      </c>
      <c r="G53" s="4">
        <f>IF(F53="","",IF(F53="EI",4,IF(F53="EO",5.2,IF(F53="EQ",3.9,IF(F53="ILF",7.5,IF(F53="EIF",5.4,""))))))</f>
        <v/>
      </c>
      <c r="H53" s="4" t="inlineStr">
        <is>
          <t>Y</t>
        </is>
      </c>
    </row>
    <row r="54">
      <c r="B54" s="4" t="n"/>
      <c r="C54" s="4" t="n"/>
      <c r="D54" s="8" t="inlineStr">
        <is>
          <t>고장 기록 초안(채팅)</t>
        </is>
      </c>
      <c r="E54" s="8" t="inlineStr">
        <is>
          <t>자연어 고장 등록 → 시설·설비 자동 매칭·확인 카드</t>
        </is>
      </c>
      <c r="F54" s="4" t="inlineStr">
        <is>
          <t>EI</t>
        </is>
      </c>
      <c r="G54" s="4">
        <f>IF(F54="","",IF(F54="EI",4,IF(F54="EO",5.2,IF(F54="EQ",3.9,IF(F54="ILF",7.5,IF(F54="EIF",5.4,""))))))</f>
        <v/>
      </c>
      <c r="H54" s="4" t="inlineStr">
        <is>
          <t>Y</t>
        </is>
      </c>
    </row>
    <row r="55">
      <c r="B55" s="4" t="n"/>
      <c r="C55" s="4" t="n"/>
      <c r="D55" s="8" t="inlineStr">
        <is>
          <t>조치 완료 기록(채팅)</t>
        </is>
      </c>
      <c r="E55" s="8" t="inlineStr">
        <is>
          <t>진행중 장애 자연어 조치 완료 처리</t>
        </is>
      </c>
      <c r="F55" s="4" t="inlineStr">
        <is>
          <t>EI</t>
        </is>
      </c>
      <c r="G55" s="4">
        <f>IF(F55="","",IF(F55="EI",4,IF(F55="EO",5.2,IF(F55="EQ",3.9,IF(F55="ILF",7.5,IF(F55="EIF",5.4,""))))))</f>
        <v/>
      </c>
      <c r="H55" s="4" t="inlineStr"/>
    </row>
    <row r="56">
      <c r="B56" s="4" t="n"/>
      <c r="C56" s="4" t="n"/>
      <c r="D56" s="8" t="inlineStr">
        <is>
          <t>점검 기록(채팅)</t>
        </is>
      </c>
      <c r="E56" s="8" t="inlineStr">
        <is>
          <t>일상/요청 점검 기록·유발 고장 링크</t>
        </is>
      </c>
      <c r="F56" s="4" t="inlineStr">
        <is>
          <t>EI</t>
        </is>
      </c>
      <c r="G56" s="4">
        <f>IF(F56="","",IF(F56="EI",4,IF(F56="EO",5.2,IF(F56="EQ",3.9,IF(F56="ILF",7.5,IF(F56="EIF",5.4,""))))))</f>
        <v/>
      </c>
      <c r="H56" s="4" t="inlineStr"/>
    </row>
    <row r="57">
      <c r="B57" s="4" t="n"/>
      <c r="C57" s="4" t="n"/>
      <c r="D57" s="8" t="inlineStr">
        <is>
          <t>보고서 초안(채팅)</t>
        </is>
      </c>
      <c r="E57" s="8" t="inlineStr">
        <is>
          <t>기간·유형 자동 추출 → 보고서 자동 초안 생성</t>
        </is>
      </c>
      <c r="F57" s="4" t="inlineStr">
        <is>
          <t>EO</t>
        </is>
      </c>
      <c r="G57" s="4">
        <f>IF(F57="","",IF(F57="EI",4,IF(F57="EO",5.2,IF(F57="EQ",3.9,IF(F57="ILF",7.5,IF(F57="EIF",5.4,""))))))</f>
        <v/>
      </c>
      <c r="H57" s="4" t="inlineStr"/>
    </row>
    <row r="58">
      <c r="B58" s="4" t="n"/>
      <c r="C58" s="4" t="n"/>
      <c r="D58" s="8" t="inlineStr">
        <is>
          <t>진단 근거 팩</t>
        </is>
      </c>
      <c r="E58" s="8" t="inlineStr">
        <is>
          <t>룰 라우터가 조회 도구 3종 병렬 실행 → 근거 표시·LLM 참고 의견</t>
        </is>
      </c>
      <c r="F58" s="4" t="inlineStr">
        <is>
          <t>EO</t>
        </is>
      </c>
      <c r="G58" s="4">
        <f>IF(F58="","",IF(F58="EI",4,IF(F58="EO",5.2,IF(F58="EQ",3.9,IF(F58="ILF",7.5,IF(F58="EIF",5.4,""))))))</f>
        <v/>
      </c>
      <c r="H58" s="4" t="inlineStr"/>
    </row>
    <row r="59">
      <c r="B59" s="4" t="n"/>
      <c r="C59" s="4" t="n"/>
      <c r="D59" s="8" t="inlineStr">
        <is>
          <t>음성 입력</t>
        </is>
      </c>
      <c r="E59" s="8" t="inlineStr">
        <is>
          <t>로컬 Whisper STT·도메인 용어 바이어스</t>
        </is>
      </c>
      <c r="F59" s="4" t="inlineStr">
        <is>
          <t>EI</t>
        </is>
      </c>
      <c r="G59" s="4">
        <f>IF(F59="","",IF(F59="EI",4,IF(F59="EO",5.2,IF(F59="EQ",3.9,IF(F59="ILF",7.5,IF(F59="EIF",5.4,""))))))</f>
        <v/>
      </c>
      <c r="H59" s="4" t="inlineStr"/>
    </row>
    <row r="60">
      <c r="B60" s="4" t="n"/>
      <c r="C60" s="4" t="n"/>
      <c r="D60" s="8" t="inlineStr">
        <is>
          <t>비상연락처 질의</t>
        </is>
      </c>
      <c r="E60" s="8" t="inlineStr">
        <is>
          <t>채팅에서 비상연락처 조회 인텐트</t>
        </is>
      </c>
      <c r="F60" s="4" t="inlineStr">
        <is>
          <t>EQ</t>
        </is>
      </c>
      <c r="G60" s="4">
        <f>IF(F60="","",IF(F60="EI",4,IF(F60="EO",5.2,IF(F60="EQ",3.9,IF(F60="ILF",7.5,IF(F60="EIF",5.4,""))))))</f>
        <v/>
      </c>
      <c r="H60" s="4" t="inlineStr"/>
    </row>
    <row r="61">
      <c r="B61" s="4" t="n"/>
      <c r="C61" s="4" t="n"/>
      <c r="D61" s="8" t="inlineStr">
        <is>
          <t>FAQ 동적 제안</t>
        </is>
      </c>
      <c r="E61" s="8" t="inlineStr">
        <is>
          <t>FAQ 기반 예시 질문 동적 노출</t>
        </is>
      </c>
      <c r="F61" s="4" t="inlineStr">
        <is>
          <t>EQ</t>
        </is>
      </c>
      <c r="G61" s="4">
        <f>IF(F61="","",IF(F61="EI",4,IF(F61="EO",5.2,IF(F61="EQ",3.9,IF(F61="ILF",7.5,IF(F61="EIF",5.4,""))))))</f>
        <v/>
      </c>
      <c r="H61" s="4" t="inlineStr"/>
    </row>
    <row r="62">
      <c r="B62" s="6" t="n"/>
      <c r="C62" s="7" t="inlineStr">
        <is>
          <t>4. 트렌드 분석</t>
        </is>
      </c>
      <c r="D62" s="6" t="n"/>
      <c r="E62" s="6" t="n"/>
      <c r="F62" s="6" t="n"/>
      <c r="G62" s="6" t="n"/>
      <c r="H62" s="6" t="n"/>
    </row>
    <row r="63">
      <c r="B63" s="4" t="n"/>
      <c r="C63" s="4" t="n"/>
      <c r="D63" s="8" t="inlineStr">
        <is>
          <t>트렌드 카탈로그</t>
        </is>
      </c>
      <c r="E63" s="8" t="inlineStr">
        <is>
          <t>트렌드 정의 단일 정본(시드 보호·모니터링 큐레이션)</t>
        </is>
      </c>
      <c r="F63" s="4" t="inlineStr">
        <is>
          <t>ILF</t>
        </is>
      </c>
      <c r="G63" s="4">
        <f>IF(F63="","",IF(F63="EI",4,IF(F63="EO",5.2,IF(F63="EQ",3.9,IF(F63="ILF",7.5,IF(F63="EIF",5.4,""))))))</f>
        <v/>
      </c>
      <c r="H63" s="4" t="inlineStr">
        <is>
          <t>Y</t>
        </is>
      </c>
    </row>
    <row r="64">
      <c r="B64" s="4" t="n"/>
      <c r="C64" s="4" t="n"/>
      <c r="D64" s="8" t="inlineStr">
        <is>
          <t>사용자 트렌드 생성</t>
        </is>
      </c>
      <c r="E64" s="8" t="inlineStr">
        <is>
          <t>사용자 정의 트렌드 등록·수정 (채팅 즉시 조회 연동)</t>
        </is>
      </c>
      <c r="F64" s="4" t="inlineStr">
        <is>
          <t>EI</t>
        </is>
      </c>
      <c r="G64" s="4">
        <f>IF(F64="","",IF(F64="EI",4,IF(F64="EO",5.2,IF(F64="EQ",3.9,IF(F64="ILF",7.5,IF(F64="EIF",5.4,""))))))</f>
        <v/>
      </c>
      <c r="H64" s="4" t="inlineStr">
        <is>
          <t>Y</t>
        </is>
      </c>
    </row>
    <row r="65">
      <c r="B65" s="4" t="n"/>
      <c r="C65" s="4" t="n"/>
      <c r="D65" s="8" t="inlineStr">
        <is>
          <t>트렌드 차트 조회</t>
        </is>
      </c>
      <c r="E65" s="8" t="inlineStr">
        <is>
          <t>기간·이동평균·재생·확장 보기</t>
        </is>
      </c>
      <c r="F65" s="4" t="inlineStr">
        <is>
          <t>EO</t>
        </is>
      </c>
      <c r="G65" s="4">
        <f>IF(F65="","",IF(F65="EI",4,IF(F65="EO",5.2,IF(F65="EQ",3.9,IF(F65="ILF",7.5,IF(F65="EIF",5.4,""))))))</f>
        <v/>
      </c>
      <c r="H65" s="4" t="inlineStr">
        <is>
          <t>Y</t>
        </is>
      </c>
    </row>
    <row r="66">
      <c r="B66" s="4" t="n"/>
      <c r="C66" s="4" t="n"/>
      <c r="D66" s="8" t="inlineStr">
        <is>
          <t>평소 대비 비교</t>
        </is>
      </c>
      <c r="E66" s="8" t="inlineStr">
        <is>
          <t>GBT 기대값 기반 z-score 판정·KPI 배지·수위 하한 판정</t>
        </is>
      </c>
      <c r="F66" s="4" t="inlineStr">
        <is>
          <t>EO</t>
        </is>
      </c>
      <c r="G66" s="4">
        <f>IF(F66="","",IF(F66="EI",4,IF(F66="EO",5.2,IF(F66="EQ",3.9,IF(F66="ILF",7.5,IF(F66="EIF",5.4,""))))))</f>
        <v/>
      </c>
      <c r="H66" s="4" t="inlineStr">
        <is>
          <t>Y</t>
        </is>
      </c>
    </row>
    <row r="67">
      <c r="B67" s="4" t="n"/>
      <c r="C67" s="4" t="n"/>
      <c r="D67" s="8" t="inlineStr">
        <is>
          <t>향후 전망</t>
        </is>
      </c>
      <c r="E67" s="8" t="inlineStr">
        <is>
          <t>Chronos-Bolt 예측·밴드 렌더·시간대 중앙값 프로파일 폴백</t>
        </is>
      </c>
      <c r="F67" s="4" t="inlineStr">
        <is>
          <t>EO</t>
        </is>
      </c>
      <c r="G67" s="4">
        <f>IF(F67="","",IF(F67="EI",4,IF(F67="EO",5.2,IF(F67="EQ",3.9,IF(F67="ILF",7.5,IF(F67="EIF",5.4,""))))))</f>
        <v/>
      </c>
      <c r="H67" s="4" t="inlineStr"/>
    </row>
    <row r="68">
      <c r="B68" s="4" t="n"/>
      <c r="C68" s="4" t="n"/>
      <c r="D68" s="8" t="inlineStr">
        <is>
          <t>기준선 GBT 학습</t>
        </is>
      </c>
      <c r="E68" s="8" t="inlineStr">
        <is>
          <t>주 1회 재훈련 CLI·성능 평가 지표 적재</t>
        </is>
      </c>
      <c r="F68" s="4" t="inlineStr">
        <is>
          <t>EO</t>
        </is>
      </c>
      <c r="G68" s="4">
        <f>IF(F68="","",IF(F68="EI",4,IF(F68="EO",5.2,IF(F68="EQ",3.9,IF(F68="ILF",7.5,IF(F68="EIF",5.4,""))))))</f>
        <v/>
      </c>
      <c r="H68" s="4" t="inlineStr"/>
    </row>
    <row r="69">
      <c r="B69" s="4" t="n"/>
      <c r="C69" s="4" t="n"/>
      <c r="D69" s="8" t="inlineStr">
        <is>
          <t>IForest 이상탐지</t>
        </is>
      </c>
      <c r="E69" s="8" t="inlineStr">
        <is>
          <t>디스크 영속화 모델·주 1회 재학습·평가 지표</t>
        </is>
      </c>
      <c r="F69" s="4" t="inlineStr">
        <is>
          <t>EO</t>
        </is>
      </c>
      <c r="G69" s="4">
        <f>IF(F69="","",IF(F69="EI",4,IF(F69="EO",5.2,IF(F69="EQ",3.9,IF(F69="ILF",7.5,IF(F69="EIF",5.4,""))))))</f>
        <v/>
      </c>
      <c r="H69" s="4" t="inlineStr"/>
    </row>
    <row r="70">
      <c r="B70" s="4" t="n"/>
      <c r="C70" s="4" t="n"/>
      <c r="D70" s="8" t="inlineStr">
        <is>
          <t>야간최소유량 집계</t>
        </is>
      </c>
      <c r="E70" s="8" t="inlineStr">
        <is>
          <t>일 단위 NMF 사전집계·self-healing 백필</t>
        </is>
      </c>
      <c r="F70" s="4" t="inlineStr">
        <is>
          <t>EO</t>
        </is>
      </c>
      <c r="G70" s="4">
        <f>IF(F70="","",IF(F70="EI",4,IF(F70="EO",5.2,IF(F70="EQ",3.9,IF(F70="ILF",7.5,IF(F70="EIF",5.4,""))))))</f>
        <v/>
      </c>
      <c r="H70" s="4" t="inlineStr"/>
    </row>
    <row r="71">
      <c r="B71" s="4" t="n"/>
      <c r="C71" s="4" t="n"/>
      <c r="D71" s="8" t="inlineStr">
        <is>
          <t>태그 원시데이터</t>
        </is>
      </c>
      <c r="E71" s="8" t="inlineStr">
        <is>
          <t>TimescaleDB 하이퍼테이블(압축 정책·연속 집계)</t>
        </is>
      </c>
      <c r="F71" s="4" t="inlineStr">
        <is>
          <t>ILF</t>
        </is>
      </c>
      <c r="G71" s="4">
        <f>IF(F71="","",IF(F71="EI",4,IF(F71="EO",5.2,IF(F71="EQ",3.9,IF(F71="ILF",7.5,IF(F71="EIF",5.4,""))))))</f>
        <v/>
      </c>
      <c r="H71" s="4" t="inlineStr">
        <is>
          <t>Y</t>
        </is>
      </c>
    </row>
    <row r="72">
      <c r="B72" s="6" t="n"/>
      <c r="C72" s="7" t="inlineStr">
        <is>
          <t>5. 장애·설비 관리</t>
        </is>
      </c>
      <c r="D72" s="6" t="n"/>
      <c r="E72" s="6" t="n"/>
      <c r="F72" s="6" t="n"/>
      <c r="G72" s="6" t="n"/>
      <c r="H72" s="6" t="n"/>
    </row>
    <row r="73">
      <c r="B73" s="4" t="n"/>
      <c r="C73" s="4" t="n"/>
      <c r="D73" s="8" t="inlineStr">
        <is>
          <t>설비 정보</t>
        </is>
      </c>
      <c r="E73" s="8" t="inlineStr">
        <is>
          <t>설비 마스터·제원(meta)·내용연수</t>
        </is>
      </c>
      <c r="F73" s="4" t="inlineStr">
        <is>
          <t>ILF</t>
        </is>
      </c>
      <c r="G73" s="4">
        <f>IF(F73="","",IF(F73="EI",4,IF(F73="EO",5.2,IF(F73="EQ",3.9,IF(F73="ILF",7.5,IF(F73="EIF",5.4,""))))))</f>
        <v/>
      </c>
      <c r="H73" s="4" t="inlineStr">
        <is>
          <t>Y</t>
        </is>
      </c>
    </row>
    <row r="74">
      <c r="B74" s="4" t="n"/>
      <c r="C74" s="4" t="n"/>
      <c r="D74" s="8" t="inlineStr">
        <is>
          <t>고장 케이스 DB</t>
        </is>
      </c>
      <c r="E74" s="8" t="inlineStr">
        <is>
          <t>고장 사례·조치 지식 데이터</t>
        </is>
      </c>
      <c r="F74" s="4" t="inlineStr">
        <is>
          <t>ILF</t>
        </is>
      </c>
      <c r="G74" s="4">
        <f>IF(F74="","",IF(F74="EI",4,IF(F74="EO",5.2,IF(F74="EQ",3.9,IF(F74="ILF",7.5,IF(F74="EIF",5.4,""))))))</f>
        <v/>
      </c>
      <c r="H74" s="4" t="inlineStr">
        <is>
          <t>Y</t>
        </is>
      </c>
    </row>
    <row r="75">
      <c r="B75" s="4" t="n"/>
      <c r="C75" s="4" t="n"/>
      <c r="D75" s="8" t="inlineStr">
        <is>
          <t>고장 케이스 관리</t>
        </is>
      </c>
      <c r="E75" s="8" t="inlineStr">
        <is>
          <t>케이스 등록·수정·xlsx 일괄 업로드</t>
        </is>
      </c>
      <c r="F75" s="4" t="inlineStr">
        <is>
          <t>EI</t>
        </is>
      </c>
      <c r="G75" s="4">
        <f>IF(F75="","",IF(F75="EI",4,IF(F75="EO",5.2,IF(F75="EQ",3.9,IF(F75="ILF",7.5,IF(F75="EIF",5.4,""))))))</f>
        <v/>
      </c>
      <c r="H75" s="4" t="inlineStr"/>
    </row>
    <row r="76">
      <c r="B76" s="4" t="n"/>
      <c r="C76" s="4" t="n"/>
      <c r="D76" s="8" t="inlineStr">
        <is>
          <t>장애 이력 조회</t>
        </is>
      </c>
      <c r="E76" s="8" t="inlineStr">
        <is>
          <t>설비별 장애·조치 이력·통계</t>
        </is>
      </c>
      <c r="F76" s="4" t="inlineStr">
        <is>
          <t>EQ</t>
        </is>
      </c>
      <c r="G76" s="4">
        <f>IF(F76="","",IF(F76="EI",4,IF(F76="EO",5.2,IF(F76="EQ",3.9,IF(F76="ILF",7.5,IF(F76="EIF",5.4,""))))))</f>
        <v/>
      </c>
      <c r="H76" s="4" t="inlineStr">
        <is>
          <t>Y</t>
        </is>
      </c>
    </row>
    <row r="77">
      <c r="B77" s="4" t="n"/>
      <c r="C77" s="4" t="n"/>
      <c r="D77" s="8" t="inlineStr">
        <is>
          <t>설비 건강성 대시보드</t>
        </is>
      </c>
      <c r="E77" s="8" t="inlineStr">
        <is>
          <t>알람↔조치 대조 분석·오탐/미검지·교체 후보</t>
        </is>
      </c>
      <c r="F77" s="4" t="inlineStr">
        <is>
          <t>EO</t>
        </is>
      </c>
      <c r="G77" s="4">
        <f>IF(F77="","",IF(F77="EI",4,IF(F77="EO",5.2,IF(F77="EQ",3.9,IF(F77="ILF",7.5,IF(F77="EIF",5.4,""))))))</f>
        <v/>
      </c>
      <c r="H77" s="4" t="inlineStr">
        <is>
          <t>Y</t>
        </is>
      </c>
    </row>
    <row r="78">
      <c r="B78" s="4" t="n"/>
      <c r="C78" s="4" t="n"/>
      <c r="D78" s="8" t="inlineStr">
        <is>
          <t>교체 우선순위 Top5</t>
        </is>
      </c>
      <c r="E78" s="8" t="inlineStr">
        <is>
          <t>내용연수·MTBF·재발 3신호 융합 카드</t>
        </is>
      </c>
      <c r="F78" s="4" t="inlineStr">
        <is>
          <t>EO</t>
        </is>
      </c>
      <c r="G78" s="4">
        <f>IF(F78="","",IF(F78="EI",4,IF(F78="EO",5.2,IF(F78="EQ",3.9,IF(F78="ILF",7.5,IF(F78="EIF",5.4,""))))))</f>
        <v/>
      </c>
      <c r="H78" s="4" t="inlineStr"/>
    </row>
    <row r="79">
      <c r="B79" s="4" t="n"/>
      <c r="C79" s="4" t="n"/>
      <c r="D79" s="8" t="inlineStr">
        <is>
          <t>설비 신뢰성(MTBF)</t>
        </is>
      </c>
      <c r="E79" s="8" t="inlineStr">
        <is>
          <t>설비 유형별 MTBF·고장 간격 분석</t>
        </is>
      </c>
      <c r="F79" s="4" t="inlineStr">
        <is>
          <t>EO</t>
        </is>
      </c>
      <c r="G79" s="4">
        <f>IF(F79="","",IF(F79="EI",4,IF(F79="EO",5.2,IF(F79="EQ",3.9,IF(F79="ILF",7.5,IF(F79="EIF",5.4,""))))))</f>
        <v/>
      </c>
      <c r="H79" s="4" t="inlineStr"/>
    </row>
    <row r="80">
      <c r="B80" s="4" t="n"/>
      <c r="C80" s="4" t="n"/>
      <c r="D80" s="8" t="inlineStr">
        <is>
          <t>점검 주기 도래</t>
        </is>
      </c>
      <c r="E80" s="8" t="inlineStr">
        <is>
          <t>유형 단위 점검 주기 마스터·도래 계산</t>
        </is>
      </c>
      <c r="F80" s="4" t="inlineStr">
        <is>
          <t>EQ</t>
        </is>
      </c>
      <c r="G80" s="4">
        <f>IF(F80="","",IF(F80="EI",4,IF(F80="EO",5.2,IF(F80="EQ",3.9,IF(F80="ILF",7.5,IF(F80="EIF",5.4,""))))))</f>
        <v/>
      </c>
      <c r="H80" s="4" t="inlineStr"/>
    </row>
    <row r="81">
      <c r="B81" s="4" t="n"/>
      <c r="C81" s="4" t="n"/>
      <c r="D81" s="8" t="inlineStr">
        <is>
          <t>설비 매뉴얼 관리</t>
        </is>
      </c>
      <c r="E81" s="8" t="inlineStr">
        <is>
          <t>매뉴얼 PDF 업로드·인덱싱·핫리로드</t>
        </is>
      </c>
      <c r="F81" s="4" t="inlineStr">
        <is>
          <t>EI</t>
        </is>
      </c>
      <c r="G81" s="4">
        <f>IF(F81="","",IF(F81="EI",4,IF(F81="EO",5.2,IF(F81="EQ",3.9,IF(F81="ILF",7.5,IF(F81="EIF",5.4,""))))))</f>
        <v/>
      </c>
      <c r="H81" s="4" t="inlineStr"/>
    </row>
    <row r="82">
      <c r="B82" s="4" t="n"/>
      <c r="C82" s="4" t="n"/>
      <c r="D82" s="8" t="inlineStr">
        <is>
          <t>매뉴얼 RAG 검색</t>
        </is>
      </c>
      <c r="E82" s="8" t="inlineStr">
        <is>
          <t>장·절 청크 임베딩 검색 (로컬)</t>
        </is>
      </c>
      <c r="F82" s="4" t="inlineStr">
        <is>
          <t>EIF</t>
        </is>
      </c>
      <c r="G82" s="4">
        <f>IF(F82="","",IF(F82="EI",4,IF(F82="EO",5.2,IF(F82="EQ",3.9,IF(F82="ILF",7.5,IF(F82="EIF",5.4,""))))))</f>
        <v/>
      </c>
      <c r="H82" s="4" t="inlineStr"/>
    </row>
    <row r="83">
      <c r="B83" s="4" t="n"/>
      <c r="C83" s="4" t="n"/>
      <c r="D83" s="8" t="inlineStr">
        <is>
          <t>명판 비전 스캔</t>
        </is>
      </c>
      <c r="E83" s="8" t="inlineStr">
        <is>
          <t>명판 촬영 → 동적 키-값 추출·표준 키 승격·제원 반영</t>
        </is>
      </c>
      <c r="F83" s="4" t="inlineStr">
        <is>
          <t>EI</t>
        </is>
      </c>
      <c r="G83" s="4">
        <f>IF(F83="","",IF(F83="EI",4,IF(F83="EO",5.2,IF(F83="EQ",3.9,IF(F83="ILF",7.5,IF(F83="EIF",5.4,""))))))</f>
        <v/>
      </c>
      <c r="H83" s="4" t="inlineStr"/>
    </row>
    <row r="84">
      <c r="B84" s="6" t="n"/>
      <c r="C84" s="7" t="inlineStr">
        <is>
          <t>6. 보고서·업무</t>
        </is>
      </c>
      <c r="D84" s="6" t="n"/>
      <c r="E84" s="6" t="n"/>
      <c r="F84" s="6" t="n"/>
      <c r="G84" s="6" t="n"/>
      <c r="H84" s="6" t="n"/>
    </row>
    <row r="85">
      <c r="B85" s="4" t="n"/>
      <c r="C85" s="4" t="n"/>
      <c r="D85" s="8" t="inlineStr">
        <is>
          <t>장애 조치 보고서</t>
        </is>
      </c>
      <c r="E85" s="8" t="inlineStr">
        <is>
          <t>항목 편집·AI 요약·확정·인쇄(공문 양식)</t>
        </is>
      </c>
      <c r="F85" s="4" t="inlineStr">
        <is>
          <t>EI</t>
        </is>
      </c>
      <c r="G85" s="4">
        <f>IF(F85="","",IF(F85="EI",4,IF(F85="EO",5.2,IF(F85="EQ",3.9,IF(F85="ILF",7.5,IF(F85="EIF",5.4,""))))))</f>
        <v/>
      </c>
      <c r="H85" s="4" t="inlineStr">
        <is>
          <t>Y</t>
        </is>
      </c>
    </row>
    <row r="86">
      <c r="B86" s="4" t="n"/>
      <c r="C86" s="4" t="n"/>
      <c r="D86" s="8" t="inlineStr">
        <is>
          <t>일 점검 보고서</t>
        </is>
      </c>
      <c r="E86" s="8" t="inlineStr">
        <is>
          <t>점검 기록 집계·고장보고 포함·확정·인쇄</t>
        </is>
      </c>
      <c r="F86" s="4" t="inlineStr">
        <is>
          <t>EI</t>
        </is>
      </c>
      <c r="G86" s="4">
        <f>IF(F86="","",IF(F86="EI",4,IF(F86="EO",5.2,IF(F86="EQ",3.9,IF(F86="ILF",7.5,IF(F86="EIF",5.4,""))))))</f>
        <v/>
      </c>
      <c r="H86" s="4" t="inlineStr">
        <is>
          <t>Y</t>
        </is>
      </c>
    </row>
    <row r="87">
      <c r="B87" s="4" t="n"/>
      <c r="C87" s="4" t="n"/>
      <c r="D87" s="8" t="inlineStr">
        <is>
          <t>보고서 데이터</t>
        </is>
      </c>
      <c r="E87" s="8" t="inlineStr">
        <is>
          <t>보고서·항목·확정 상태 저장</t>
        </is>
      </c>
      <c r="F87" s="4" t="inlineStr">
        <is>
          <t>ILF</t>
        </is>
      </c>
      <c r="G87" s="4">
        <f>IF(F87="","",IF(F87="EI",4,IF(F87="EO",5.2,IF(F87="EQ",3.9,IF(F87="ILF",7.5,IF(F87="EIF",5.4,""))))))</f>
        <v/>
      </c>
      <c r="H87" s="4" t="inlineStr"/>
    </row>
    <row r="88">
      <c r="B88" s="4" t="n"/>
      <c r="C88" s="4" t="n"/>
      <c r="D88" s="8" t="inlineStr">
        <is>
          <t>보고서 조회·출력</t>
        </is>
      </c>
      <c r="E88" s="8" t="inlineStr">
        <is>
          <t>보고서 목록·상세·새 창 인쇄(PDF)</t>
        </is>
      </c>
      <c r="F88" s="4" t="inlineStr">
        <is>
          <t>EO</t>
        </is>
      </c>
      <c r="G88" s="4">
        <f>IF(F88="","",IF(F88="EI",4,IF(F88="EO",5.2,IF(F88="EQ",3.9,IF(F88="ILF",7.5,IF(F88="EIF",5.4,""))))))</f>
        <v/>
      </c>
      <c r="H88" s="4" t="inlineStr"/>
    </row>
    <row r="89">
      <c r="B89" s="4" t="n"/>
      <c r="C89" s="4" t="n"/>
      <c r="D89" s="8" t="inlineStr">
        <is>
          <t>업무 메모</t>
        </is>
      </c>
      <c r="E89" s="8" t="inlineStr">
        <is>
          <t>메모 등록·검색·달력 보기 (본인+마스터 삭제)</t>
        </is>
      </c>
      <c r="F89" s="4" t="inlineStr">
        <is>
          <t>EI</t>
        </is>
      </c>
      <c r="G89" s="4">
        <f>IF(F89="","",IF(F89="EI",4,IF(F89="EO",5.2,IF(F89="EQ",3.9,IF(F89="ILF",7.5,IF(F89="EIF",5.4,""))))))</f>
        <v/>
      </c>
      <c r="H89" s="4" t="inlineStr"/>
    </row>
    <row r="90">
      <c r="B90" s="4" t="n"/>
      <c r="C90" s="4" t="n"/>
      <c r="D90" s="8" t="inlineStr">
        <is>
          <t>일정 알림</t>
        </is>
      </c>
      <c r="E90" s="8" t="inlineStr">
        <is>
          <t>달력 등록 → 30s 폴링 전역 팝업·확인 전 재표시</t>
        </is>
      </c>
      <c r="F90" s="4" t="inlineStr">
        <is>
          <t>EO</t>
        </is>
      </c>
      <c r="G90" s="4">
        <f>IF(F90="","",IF(F90="EI",4,IF(F90="EO",5.2,IF(F90="EQ",3.9,IF(F90="ILF",7.5,IF(F90="EIF",5.4,""))))))</f>
        <v/>
      </c>
      <c r="H90" s="4" t="inlineStr"/>
    </row>
    <row r="91">
      <c r="B91" s="6" t="n"/>
      <c r="C91" s="7" t="inlineStr">
        <is>
          <t>7. 관망 수리해석(EPANET)</t>
        </is>
      </c>
      <c r="D91" s="6" t="n"/>
      <c r="E91" s="6" t="n"/>
      <c r="F91" s="6" t="n"/>
      <c r="G91" s="6" t="n"/>
      <c r="H91" s="6" t="n"/>
    </row>
    <row r="92">
      <c r="B92" s="4" t="n"/>
      <c r="C92" s="4" t="n"/>
      <c r="D92" s="8" t="inlineStr">
        <is>
          <t>EPANET 모델 데이터</t>
        </is>
      </c>
      <c r="E92" s="8" t="inlineStr">
        <is>
          <t>INP 네트워크 모델·시뮬 결과 시계열</t>
        </is>
      </c>
      <c r="F92" s="4" t="inlineStr">
        <is>
          <t>ILF</t>
        </is>
      </c>
      <c r="G92" s="4">
        <f>IF(F92="","",IF(F92="EI",4,IF(F92="EO",5.2,IF(F92="EQ",3.9,IF(F92="ILF",7.5,IF(F92="EIF",5.4,""))))))</f>
        <v/>
      </c>
      <c r="H92" s="4" t="inlineStr"/>
    </row>
    <row r="93">
      <c r="B93" s="4" t="n"/>
      <c r="C93" s="4" t="n"/>
      <c r="D93" s="8" t="inlineStr">
        <is>
          <t>실측 유량 주입</t>
        </is>
      </c>
      <c r="E93" s="8" t="inlineStr">
        <is>
          <t>시설별 outflow 매핑 → demand IDW 보간 주입</t>
        </is>
      </c>
      <c r="F93" s="4" t="inlineStr">
        <is>
          <t>EO</t>
        </is>
      </c>
      <c r="G93" s="4">
        <f>IF(F93="","",IF(F93="EI",4,IF(F93="EO",5.2,IF(F93="EQ",3.9,IF(F93="ILF",7.5,IF(F93="EIF",5.4,""))))))</f>
        <v/>
      </c>
      <c r="H93" s="4" t="inlineStr"/>
    </row>
    <row r="94">
      <c r="B94" s="4" t="n"/>
      <c r="C94" s="4" t="n"/>
      <c r="D94" s="8" t="inlineStr">
        <is>
          <t>수리 시뮬레이션 실행</t>
        </is>
      </c>
      <c r="E94" s="8" t="inlineStr">
        <is>
          <t>EPANET 시뮬 실행·결과 저장 (자동 주기 포함)</t>
        </is>
      </c>
      <c r="F94" s="4" t="inlineStr">
        <is>
          <t>EO</t>
        </is>
      </c>
      <c r="G94" s="4">
        <f>IF(F94="","",IF(F94="EI",4,IF(F94="EO",5.2,IF(F94="EQ",3.9,IF(F94="ILF",7.5,IF(F94="EIF",5.4,""))))))</f>
        <v/>
      </c>
      <c r="H94" s="4" t="inlineStr">
        <is>
          <t>Y</t>
        </is>
      </c>
    </row>
    <row r="95">
      <c r="B95" s="4" t="n"/>
      <c r="C95" s="4" t="n"/>
      <c r="D95" s="8" t="inlineStr">
        <is>
          <t>시뮬 vs 실측 편차 분석</t>
        </is>
      </c>
      <c r="E95" s="8" t="inlineStr">
        <is>
          <t>시설 단위 편차 패널·GIS 오버레이</t>
        </is>
      </c>
      <c r="F95" s="4" t="inlineStr">
        <is>
          <t>EO</t>
        </is>
      </c>
      <c r="G95" s="4">
        <f>IF(F95="","",IF(F95="EI",4,IF(F95="EO",5.2,IF(F95="EQ",3.9,IF(F95="ILF",7.5,IF(F95="EIF",5.4,""))))))</f>
        <v/>
      </c>
      <c r="H95" s="4" t="inlineStr"/>
    </row>
    <row r="96">
      <c r="B96" s="4" t="n"/>
      <c r="C96" s="4" t="n"/>
      <c r="D96" s="8" t="inlineStr">
        <is>
          <t>상류 영향 분석</t>
        </is>
      </c>
      <c r="E96" s="8" t="inlineStr">
        <is>
          <t>상류 시설 장애 영향 추정·채팅 연동</t>
        </is>
      </c>
      <c r="F96" s="4" t="inlineStr">
        <is>
          <t>EO</t>
        </is>
      </c>
      <c r="G96" s="4">
        <f>IF(F96="","",IF(F96="EI",4,IF(F96="EO",5.2,IF(F96="EQ",3.9,IF(F96="ILF",7.5,IF(F96="EIF",5.4,""))))))</f>
        <v/>
      </c>
      <c r="H96" s="4" t="inlineStr"/>
    </row>
    <row r="97">
      <c r="B97" s="6" t="n"/>
      <c r="C97" s="7" t="inlineStr">
        <is>
          <t>8. 통신망 관리</t>
        </is>
      </c>
      <c r="D97" s="6" t="n"/>
      <c r="E97" s="6" t="n"/>
      <c r="F97" s="6" t="n"/>
      <c r="G97" s="6" t="n"/>
      <c r="H97" s="6" t="n"/>
    </row>
    <row r="98">
      <c r="B98" s="4" t="n"/>
      <c r="C98" s="4" t="n"/>
      <c r="D98" s="8" t="inlineStr">
        <is>
          <t>통신 장비 정보</t>
        </is>
      </c>
      <c r="E98" s="8" t="inlineStr">
        <is>
          <t>네트워크 장비 마스터(IP·프로토콜·역할)</t>
        </is>
      </c>
      <c r="F98" s="4" t="inlineStr">
        <is>
          <t>ILF</t>
        </is>
      </c>
      <c r="G98" s="4">
        <f>IF(F98="","",IF(F98="EI",4,IF(F98="EO",5.2,IF(F98="EQ",3.9,IF(F98="ILF",7.5,IF(F98="EIF",5.4,""))))))</f>
        <v/>
      </c>
      <c r="H98" s="4" t="inlineStr">
        <is>
          <t>Y</t>
        </is>
      </c>
    </row>
    <row r="99">
      <c r="B99" s="4" t="n"/>
      <c r="C99" s="4" t="n"/>
      <c r="D99" s="8" t="inlineStr">
        <is>
          <t>통신 링크 정보</t>
        </is>
      </c>
      <c r="E99" s="8" t="inlineStr">
        <is>
          <t>장비 간 연결·프로토콜 정의</t>
        </is>
      </c>
      <c r="F99" s="4" t="inlineStr">
        <is>
          <t>ILF</t>
        </is>
      </c>
      <c r="G99" s="4">
        <f>IF(F99="","",IF(F99="EI",4,IF(F99="EO",5.2,IF(F99="EQ",3.9,IF(F99="ILF",7.5,IF(F99="EIF",5.4,""))))))</f>
        <v/>
      </c>
      <c r="H99" s="4" t="inlineStr"/>
    </row>
    <row r="100">
      <c r="B100" s="4" t="n"/>
      <c r="C100" s="4" t="n"/>
      <c r="D100" s="8" t="inlineStr">
        <is>
          <t>네트워크 토폴로지</t>
        </is>
      </c>
      <c r="E100" s="8" t="inlineStr">
        <is>
          <t>계층형 토폴로지·장비 상태·RTT 감시</t>
        </is>
      </c>
      <c r="F100" s="4" t="inlineStr">
        <is>
          <t>EO</t>
        </is>
      </c>
      <c r="G100" s="4">
        <f>IF(F100="","",IF(F100="EI",4,IF(F100="EO",5.2,IF(F100="EQ",3.9,IF(F100="ILF",7.5,IF(F100="EIF",5.4,""))))))</f>
        <v/>
      </c>
      <c r="H100" s="4" t="inlineStr">
        <is>
          <t>Y</t>
        </is>
      </c>
    </row>
    <row r="101">
      <c r="B101" s="4" t="n"/>
      <c r="C101" s="4" t="n"/>
      <c r="D101" s="8" t="inlineStr">
        <is>
          <t>통신 이상 감지</t>
        </is>
      </c>
      <c r="E101" s="8" t="inlineStr">
        <is>
          <t>무응답·통신 이상 자동 감지·경보 연계</t>
        </is>
      </c>
      <c r="F101" s="4" t="inlineStr">
        <is>
          <t>EO</t>
        </is>
      </c>
      <c r="G101" s="4">
        <f>IF(F101="","",IF(F101="EI",4,IF(F101="EO",5.2,IF(F101="EQ",3.9,IF(F101="ILF",7.5,IF(F101="EIF",5.4,""))))))</f>
        <v/>
      </c>
      <c r="H101" s="4" t="inlineStr"/>
    </row>
    <row r="102">
      <c r="B102" s="4" t="n"/>
      <c r="C102" s="4" t="n"/>
      <c r="D102" s="8" t="inlineStr">
        <is>
          <t>장비 CRUD</t>
        </is>
      </c>
      <c r="E102" s="8" t="inlineStr">
        <is>
          <t>장비 등록·수정·삭제 (표+캔버스 동일 정본)</t>
        </is>
      </c>
      <c r="F102" s="4" t="inlineStr">
        <is>
          <t>EI</t>
        </is>
      </c>
      <c r="G102" s="4">
        <f>IF(F102="","",IF(F102="EI",4,IF(F102="EO",5.2,IF(F102="EQ",3.9,IF(F102="ILF",7.5,IF(F102="EIF",5.4,""))))))</f>
        <v/>
      </c>
      <c r="H102" s="4" t="inlineStr"/>
    </row>
    <row r="103">
      <c r="B103" s="4" t="n"/>
      <c r="C103" s="4" t="n"/>
      <c r="D103" s="8" t="inlineStr">
        <is>
          <t>링크 에디터</t>
        </is>
      </c>
      <c r="E103" s="8" t="inlineStr">
        <is>
          <t>드래그 연결 등록·더블클릭 수정·배치 저장</t>
        </is>
      </c>
      <c r="F103" s="4" t="inlineStr">
        <is>
          <t>EI</t>
        </is>
      </c>
      <c r="G103" s="4">
        <f>IF(F103="","",IF(F103="EI",4,IF(F103="EO",5.2,IF(F103="EQ",3.9,IF(F103="ILF",7.5,IF(F103="EIF",5.4,""))))))</f>
        <v/>
      </c>
      <c r="H103" s="4" t="inlineStr">
        <is>
          <t>Y</t>
        </is>
      </c>
    </row>
    <row r="104">
      <c r="B104" s="4" t="n"/>
      <c r="C104" s="4" t="n"/>
      <c r="D104" s="8" t="inlineStr">
        <is>
          <t>링크 에디터 lint</t>
        </is>
      </c>
      <c r="E104" s="8" t="inlineStr">
        <is>
          <t>미연결·IP중복·겹침·동기이탈 검사 배지</t>
        </is>
      </c>
      <c r="F104" s="4" t="inlineStr">
        <is>
          <t>EQ</t>
        </is>
      </c>
      <c r="G104" s="4">
        <f>IF(F104="","",IF(F104="EI",4,IF(F104="EO",5.2,IF(F104="EQ",3.9,IF(F104="ILF",7.5,IF(F104="EIF",5.4,""))))))</f>
        <v/>
      </c>
      <c r="H104" s="4" t="inlineStr"/>
    </row>
    <row r="105">
      <c r="B105" s="4" t="n"/>
      <c r="C105" s="4" t="n"/>
      <c r="D105" s="8" t="inlineStr">
        <is>
          <t>배치 정렬</t>
        </is>
      </c>
      <c r="E105" s="8" t="inlineStr">
        <is>
          <t>계층 정렬·토폴로지 정렬(모니터링 동일 작화)·정렬 5종</t>
        </is>
      </c>
      <c r="F105" s="4" t="inlineStr">
        <is>
          <t>EO</t>
        </is>
      </c>
      <c r="G105" s="4">
        <f>IF(F105="","",IF(F105="EI",4,IF(F105="EO",5.2,IF(F105="EQ",3.9,IF(F105="ILF",7.5,IF(F105="EIF",5.4,""))))))</f>
        <v/>
      </c>
      <c r="H105" s="4" t="inlineStr"/>
    </row>
    <row r="106">
      <c r="B106" s="6" t="n"/>
      <c r="C106" s="7" t="inlineStr">
        <is>
          <t>9. 메신저·협업</t>
        </is>
      </c>
      <c r="D106" s="6" t="n"/>
      <c r="E106" s="6" t="n"/>
      <c r="F106" s="6" t="n"/>
      <c r="G106" s="6" t="n"/>
      <c r="H106" s="6" t="n"/>
    </row>
    <row r="107">
      <c r="B107" s="4" t="n"/>
      <c r="C107" s="4" t="n"/>
      <c r="D107" s="8" t="inlineStr">
        <is>
          <t>메시지 데이터</t>
        </is>
      </c>
      <c r="E107" s="8" t="inlineStr">
        <is>
          <t>1:1/그룹 대화·읽음·첨부 메타</t>
        </is>
      </c>
      <c r="F107" s="4" t="inlineStr">
        <is>
          <t>ILF</t>
        </is>
      </c>
      <c r="G107" s="4">
        <f>IF(F107="","",IF(F107="EI",4,IF(F107="EO",5.2,IF(F107="EQ",3.9,IF(F107="ILF",7.5,IF(F107="EIF",5.4,""))))))</f>
        <v/>
      </c>
      <c r="H107" s="4" t="inlineStr">
        <is>
          <t>Y</t>
        </is>
      </c>
    </row>
    <row r="108">
      <c r="B108" s="4" t="n"/>
      <c r="C108" s="4" t="n"/>
      <c r="D108" s="8" t="inlineStr">
        <is>
          <t>운영자 채팅</t>
        </is>
      </c>
      <c r="E108" s="8" t="inlineStr">
        <is>
          <t>1:1/그룹 채팅·도착 알림(10s 폴링)</t>
        </is>
      </c>
      <c r="F108" s="4" t="inlineStr">
        <is>
          <t>EI</t>
        </is>
      </c>
      <c r="G108" s="4">
        <f>IF(F108="","",IF(F108="EI",4,IF(F108="EO",5.2,IF(F108="EQ",3.9,IF(F108="ILF",7.5,IF(F108="EIF",5.4,""))))))</f>
        <v/>
      </c>
      <c r="H108" s="4" t="inlineStr">
        <is>
          <t>Y</t>
        </is>
      </c>
    </row>
    <row r="109">
      <c r="B109" s="4" t="n"/>
      <c r="C109" s="4" t="n"/>
      <c r="D109" s="8" t="inlineStr">
        <is>
          <t>파일 전송</t>
        </is>
      </c>
      <c r="E109" s="8" t="inlineStr">
        <is>
          <t>사진·영상·문서 첨부 전송</t>
        </is>
      </c>
      <c r="F109" s="4" t="inlineStr">
        <is>
          <t>EI</t>
        </is>
      </c>
      <c r="G109" s="4">
        <f>IF(F109="","",IF(F109="EI",4,IF(F109="EO",5.2,IF(F109="EQ",3.9,IF(F109="ILF",7.5,IF(F109="EIF",5.4,""))))))</f>
        <v/>
      </c>
      <c r="H109" s="4" t="inlineStr"/>
    </row>
    <row r="110">
      <c r="B110" s="4" t="n"/>
      <c r="C110" s="4" t="n"/>
      <c r="D110" s="8" t="inlineStr">
        <is>
          <t>음성 통화</t>
        </is>
      </c>
      <c r="E110" s="8" t="inlineStr">
        <is>
          <t>WebRTC P2P 음성 통화·REST 폴링 시그널링</t>
        </is>
      </c>
      <c r="F110" s="4" t="inlineStr">
        <is>
          <t>EO</t>
        </is>
      </c>
      <c r="G110" s="4">
        <f>IF(F110="","",IF(F110="EI",4,IF(F110="EO",5.2,IF(F110="EQ",3.9,IF(F110="ILF",7.5,IF(F110="EIF",5.4,""))))))</f>
        <v/>
      </c>
      <c r="H110" s="4" t="inlineStr">
        <is>
          <t>Y</t>
        </is>
      </c>
    </row>
    <row r="111">
      <c r="B111" s="4" t="n"/>
      <c r="C111" s="4" t="n"/>
      <c r="D111" s="8" t="inlineStr">
        <is>
          <t>영상 통화</t>
        </is>
      </c>
      <c r="E111" s="8" t="inlineStr">
        <is>
          <t>WebRTC 영상 통화·화면 구성</t>
        </is>
      </c>
      <c r="F111" s="4" t="inlineStr">
        <is>
          <t>EO</t>
        </is>
      </c>
      <c r="G111" s="4">
        <f>IF(F111="","",IF(F111="EI",4,IF(F111="EO",5.2,IF(F111="EQ",3.9,IF(F111="ILF",7.5,IF(F111="EIF",5.4,""))))))</f>
        <v/>
      </c>
      <c r="H111" s="4" t="inlineStr"/>
    </row>
    <row r="112">
      <c r="B112" s="4" t="n"/>
      <c r="C112" s="4" t="n"/>
      <c r="D112" s="8" t="inlineStr">
        <is>
          <t>회의 통화</t>
        </is>
      </c>
      <c r="E112" s="8" t="inlineStr">
        <is>
          <t>3~4인 풀메시 회의·초대 벨·수락 합류</t>
        </is>
      </c>
      <c r="F112" s="4" t="inlineStr">
        <is>
          <t>EO</t>
        </is>
      </c>
      <c r="G112" s="4">
        <f>IF(F112="","",IF(F112="EI",4,IF(F112="EO",5.2,IF(F112="EQ",3.9,IF(F112="ILF",7.5,IF(F112="EIF",5.4,""))))))</f>
        <v/>
      </c>
      <c r="H112" s="4" t="inlineStr"/>
    </row>
    <row r="113">
      <c r="B113" s="4" t="n"/>
      <c r="C113" s="4" t="n"/>
      <c r="D113" s="8" t="inlineStr">
        <is>
          <t>외부망 TURN 옵션</t>
        </is>
      </c>
      <c r="E113" s="8" t="inlineStr">
        <is>
          <t>coturn 릴레이 자격 발급·이중 토글</t>
        </is>
      </c>
      <c r="F113" s="4" t="inlineStr">
        <is>
          <t>EO</t>
        </is>
      </c>
      <c r="G113" s="4">
        <f>IF(F113="","",IF(F113="EI",4,IF(F113="EO",5.2,IF(F113="EQ",3.9,IF(F113="ILF",7.5,IF(F113="EIF",5.4,""))))))</f>
        <v/>
      </c>
      <c r="H113" s="4" t="inlineStr"/>
    </row>
    <row r="114">
      <c r="B114" s="6" t="n"/>
      <c r="C114" s="7" t="inlineStr">
        <is>
          <t>10. 구축(셋업)</t>
        </is>
      </c>
      <c r="D114" s="6" t="n"/>
      <c r="E114" s="6" t="n"/>
      <c r="F114" s="6" t="n"/>
      <c r="G114" s="6" t="n"/>
      <c r="H114" s="6" t="n"/>
    </row>
    <row r="115">
      <c r="B115" s="4" t="n"/>
      <c r="C115" s="4" t="n"/>
      <c r="D115" s="8" t="inlineStr">
        <is>
          <t>구축 워크스페이스</t>
        </is>
      </c>
      <c r="E115" s="8" t="inlineStr">
        <is>
          <t>트리+레이어 토글(용수/통신)+공용 인스펙터 통합 진입점</t>
        </is>
      </c>
      <c r="F115" s="4" t="inlineStr">
        <is>
          <t>EQ</t>
        </is>
      </c>
      <c r="G115" s="4">
        <f>IF(F115="","",IF(F115="EI",4,IF(F115="EO",5.2,IF(F115="EQ",3.9,IF(F115="ILF",7.5,IF(F115="EIF",5.4,""))))))</f>
        <v/>
      </c>
      <c r="H115" s="4" t="inlineStr">
        <is>
          <t>Y</t>
        </is>
      </c>
    </row>
    <row r="116">
      <c r="B116" s="4" t="n"/>
      <c r="C116" s="4" t="n"/>
      <c r="D116" s="8" t="inlineStr">
        <is>
          <t>시설 등록 마법사</t>
        </is>
      </c>
      <c r="E116" s="8" t="inlineStr">
        <is>
          <t>4단계 시설 등록(기초정보→태그→배치)</t>
        </is>
      </c>
      <c r="F116" s="4" t="inlineStr">
        <is>
          <t>EI</t>
        </is>
      </c>
      <c r="G116" s="4">
        <f>IF(F116="","",IF(F116="EI",4,IF(F116="EO",5.2,IF(F116="EQ",3.9,IF(F116="ILF",7.5,IF(F116="EIF",5.4,""))))))</f>
        <v/>
      </c>
      <c r="H116" s="4" t="inlineStr">
        <is>
          <t>Y</t>
        </is>
      </c>
    </row>
    <row r="117">
      <c r="B117" s="4" t="n"/>
      <c r="C117" s="4" t="n"/>
      <c r="D117" s="8" t="inlineStr">
        <is>
          <t>시설 기초정보</t>
        </is>
      </c>
      <c r="E117" s="8" t="inlineStr">
        <is>
          <t>배수지·가압장·감압·블록 4종 기초정보</t>
        </is>
      </c>
      <c r="F117" s="4" t="inlineStr">
        <is>
          <t>ILF</t>
        </is>
      </c>
      <c r="G117" s="4">
        <f>IF(F117="","",IF(F117="EI",4,IF(F117="EO",5.2,IF(F117="EQ",3.9,IF(F117="ILF",7.5,IF(F117="EIF",5.4,""))))))</f>
        <v/>
      </c>
      <c r="H117" s="4" t="inlineStr">
        <is>
          <t>Y</t>
        </is>
      </c>
    </row>
    <row r="118">
      <c r="B118" s="4" t="n"/>
      <c r="C118" s="4" t="n"/>
      <c r="D118" s="8" t="inlineStr">
        <is>
          <t>시설 기초정보 CRUD</t>
        </is>
      </c>
      <c r="E118" s="8" t="inlineStr">
        <is>
          <t>시설 등록·수정·삭제·사진/매뉴얼 연결</t>
        </is>
      </c>
      <c r="F118" s="4" t="inlineStr">
        <is>
          <t>EI</t>
        </is>
      </c>
      <c r="G118" s="4">
        <f>IF(F118="","",IF(F118="EI",4,IF(F118="EO",5.2,IF(F118="EQ",3.9,IF(F118="ILF",7.5,IF(F118="EIF",5.4,""))))))</f>
        <v/>
      </c>
      <c r="H118" s="4" t="inlineStr"/>
    </row>
    <row r="119">
      <c r="B119" s="4" t="n"/>
      <c r="C119" s="4" t="n"/>
      <c r="D119" s="8" t="inlineStr">
        <is>
          <t>태그 설정</t>
        </is>
      </c>
      <c r="E119" s="8" t="inlineStr">
        <is>
          <t>태그 마스터 관리·일괄 업로드·온보딩</t>
        </is>
      </c>
      <c r="F119" s="4" t="inlineStr">
        <is>
          <t>EI</t>
        </is>
      </c>
      <c r="G119" s="4">
        <f>IF(F119="","",IF(F119="EI",4,IF(F119="EO",5.2,IF(F119="EQ",3.9,IF(F119="ILF",7.5,IF(F119="EIF",5.4,""))))))</f>
        <v/>
      </c>
      <c r="H119" s="4" t="inlineStr">
        <is>
          <t>Y</t>
        </is>
      </c>
    </row>
    <row r="120">
      <c r="B120" s="4" t="n"/>
      <c r="C120" s="4" t="n"/>
      <c r="D120" s="8" t="inlineStr">
        <is>
          <t>DATAINFO 변환룰</t>
        </is>
      </c>
      <c r="E120" s="8" t="inlineStr">
        <is>
          <t>룰 4계층(정규식/사전/문맥/확정)·미리보기·선별 적용·롤백</t>
        </is>
      </c>
      <c r="F120" s="4" t="inlineStr">
        <is>
          <t>EI</t>
        </is>
      </c>
      <c r="G120" s="4">
        <f>IF(F120="","",IF(F120="EI",4,IF(F120="EO",5.2,IF(F120="EQ",3.9,IF(F120="ILF",7.5,IF(F120="EIF",5.4,""))))))</f>
        <v/>
      </c>
      <c r="H120" s="4" t="inlineStr"/>
    </row>
    <row r="121">
      <c r="B121" s="4" t="n"/>
      <c r="C121" s="4" t="n"/>
      <c r="D121" s="8" t="inlineStr">
        <is>
          <t>변환룰 데이터</t>
        </is>
      </c>
      <c r="E121" s="8" t="inlineStr">
        <is>
          <t>룰 정의·적용 이력</t>
        </is>
      </c>
      <c r="F121" s="4" t="inlineStr">
        <is>
          <t>ILF</t>
        </is>
      </c>
      <c r="G121" s="4">
        <f>IF(F121="","",IF(F121="EI",4,IF(F121="EO",5.2,IF(F121="EQ",3.9,IF(F121="ILF",7.5,IF(F121="EIF",5.4,""))))))</f>
        <v/>
      </c>
      <c r="H121" s="4" t="inlineStr"/>
    </row>
    <row r="122">
      <c r="B122" s="4" t="n"/>
      <c r="C122" s="4" t="n"/>
      <c r="D122" s="8" t="inlineStr">
        <is>
          <t>장비 설정</t>
        </is>
      </c>
      <c r="E122" s="8" t="inlineStr">
        <is>
          <t>장비 등록·태그 연결·사진 등록</t>
        </is>
      </c>
      <c r="F122" s="4" t="inlineStr">
        <is>
          <t>EI</t>
        </is>
      </c>
      <c r="G122" s="4">
        <f>IF(F122="","",IF(F122="EI",4,IF(F122="EO",5.2,IF(F122="EQ",3.9,IF(F122="ILF",7.5,IF(F122="EIF",5.4,""))))))</f>
        <v/>
      </c>
      <c r="H122" s="4" t="inlineStr"/>
    </row>
    <row r="123">
      <c r="B123" s="4" t="n"/>
      <c r="C123" s="4" t="n"/>
      <c r="D123" s="8" t="inlineStr">
        <is>
          <t>트렌드 설정</t>
        </is>
      </c>
      <c r="E123" s="8" t="inlineStr">
        <is>
          <t>트렌드 카탈로그 관리(시드 보호)</t>
        </is>
      </c>
      <c r="F123" s="4" t="inlineStr">
        <is>
          <t>EI</t>
        </is>
      </c>
      <c r="G123" s="4">
        <f>IF(F123="","",IF(F123="EI",4,IF(F123="EO",5.2,IF(F123="EQ",3.9,IF(F123="ILF",7.5,IF(F123="EIF",5.4,""))))))</f>
        <v/>
      </c>
      <c r="H123" s="4" t="inlineStr"/>
    </row>
    <row r="124">
      <c r="B124" s="4" t="n"/>
      <c r="C124" s="4" t="n"/>
      <c r="D124" s="8" t="inlineStr">
        <is>
          <t>계통도 캔버스</t>
        </is>
      </c>
      <c r="E124" s="8" t="inlineStr">
        <is>
          <t>노드 드래그·연결·undo/redo·내보내기(PNG/SVG)</t>
        </is>
      </c>
      <c r="F124" s="4" t="inlineStr">
        <is>
          <t>EI</t>
        </is>
      </c>
      <c r="G124" s="4">
        <f>IF(F124="","",IF(F124="EI",4,IF(F124="EO",5.2,IF(F124="EQ",3.9,IF(F124="ILF",7.5,IF(F124="EIF",5.4,""))))))</f>
        <v/>
      </c>
      <c r="H124" s="4" t="inlineStr">
        <is>
          <t>Y</t>
        </is>
      </c>
    </row>
    <row r="125">
      <c r="B125" s="4" t="n"/>
      <c r="C125" s="4" t="n"/>
      <c r="D125" s="8" t="inlineStr">
        <is>
          <t>계통도 좌표 데이터</t>
        </is>
      </c>
      <c r="E125" s="8" t="inlineStr">
        <is>
          <t>노드 배치 정본(경위도·px 변환)</t>
        </is>
      </c>
      <c r="F125" s="4" t="inlineStr">
        <is>
          <t>ILF</t>
        </is>
      </c>
      <c r="G125" s="4">
        <f>IF(F125="","",IF(F125="EI",4,IF(F125="EO",5.2,IF(F125="EQ",3.9,IF(F125="ILF",7.5,IF(F125="EIF",5.4,""))))))</f>
        <v/>
      </c>
      <c r="H125" s="4" t="inlineStr"/>
    </row>
    <row r="126">
      <c r="B126" s="4" t="n"/>
      <c r="C126" s="4" t="n"/>
      <c r="D126" s="8" t="inlineStr">
        <is>
          <t>자동 배치·정합 lint</t>
        </is>
      </c>
      <c r="E126" s="8" t="inlineStr">
        <is>
          <t>relayout(신규/전체)·누락/고아/순환 검사</t>
        </is>
      </c>
      <c r="F126" s="4" t="inlineStr">
        <is>
          <t>EO</t>
        </is>
      </c>
      <c r="G126" s="4">
        <f>IF(F126="","",IF(F126="EI",4,IF(F126="EO",5.2,IF(F126="EQ",3.9,IF(F126="ILF",7.5,IF(F126="EIF",5.4,""))))))</f>
        <v/>
      </c>
      <c r="H126" s="4" t="inlineStr"/>
    </row>
    <row r="127">
      <c r="B127" s="4" t="n"/>
      <c r="C127" s="4" t="n"/>
      <c r="D127" s="8" t="inlineStr">
        <is>
          <t>GIS 설정</t>
        </is>
      </c>
      <c r="E127" s="8" t="inlineStr">
        <is>
          <t>지도 중심·줌·좌표 관리</t>
        </is>
      </c>
      <c r="F127" s="4" t="inlineStr">
        <is>
          <t>EI</t>
        </is>
      </c>
      <c r="G127" s="4">
        <f>IF(F127="","",IF(F127="EI",4,IF(F127="EO",5.2,IF(F127="EQ",3.9,IF(F127="ILF",7.5,IF(F127="EIF",5.4,""))))))</f>
        <v/>
      </c>
      <c r="H127" s="4" t="inlineStr"/>
    </row>
    <row r="128">
      <c r="B128" s="4" t="n"/>
      <c r="C128" s="4" t="n"/>
      <c r="D128" s="8" t="inlineStr">
        <is>
          <t>비상연락처 설정</t>
        </is>
      </c>
      <c r="E128" s="8" t="inlineStr">
        <is>
          <t>카테고리별 연락처 관리</t>
        </is>
      </c>
      <c r="F128" s="4" t="inlineStr">
        <is>
          <t>EI</t>
        </is>
      </c>
      <c r="G128" s="4">
        <f>IF(F128="","",IF(F128="EI",4,IF(F128="EO",5.2,IF(F128="EQ",3.9,IF(F128="ILF",7.5,IF(F128="EIF",5.4,""))))))</f>
        <v/>
      </c>
      <c r="H128" s="4" t="inlineStr"/>
    </row>
    <row r="129">
      <c r="B129" s="4" t="n"/>
      <c r="C129" s="4" t="n"/>
      <c r="D129" s="8" t="inlineStr">
        <is>
          <t>비상연락처 데이터</t>
        </is>
      </c>
      <c r="E129" s="8" t="inlineStr">
        <is>
          <t>연락처·카테고리 매핑</t>
        </is>
      </c>
      <c r="F129" s="4" t="inlineStr">
        <is>
          <t>ILF</t>
        </is>
      </c>
      <c r="G129" s="4">
        <f>IF(F129="","",IF(F129="EI",4,IF(F129="EO",5.2,IF(F129="EQ",3.9,IF(F129="ILF",7.5,IF(F129="EIF",5.4,""))))))</f>
        <v/>
      </c>
      <c r="H129" s="4" t="inlineStr"/>
    </row>
    <row r="130">
      <c r="B130" s="4" t="n"/>
      <c r="C130" s="4" t="n"/>
      <c r="D130" s="8" t="inlineStr">
        <is>
          <t>시설 약칭 설정</t>
        </is>
      </c>
      <c r="E130" s="8" t="inlineStr">
        <is>
          <t>채팅 매칭용 시설 별칭 관리</t>
        </is>
      </c>
      <c r="F130" s="4" t="inlineStr">
        <is>
          <t>EI</t>
        </is>
      </c>
      <c r="G130" s="4">
        <f>IF(F130="","",IF(F130="EI",4,IF(F130="EO",5.2,IF(F130="EQ",3.9,IF(F130="ILF",7.5,IF(F130="EIF",5.4,""))))))</f>
        <v/>
      </c>
      <c r="H130" s="4" t="inlineStr"/>
    </row>
    <row r="131">
      <c r="B131" s="4" t="n"/>
      <c r="C131" s="4" t="n"/>
      <c r="D131" s="8" t="inlineStr">
        <is>
          <t>구축 완결성 검수</t>
        </is>
      </c>
      <c r="E131" s="8" t="inlineStr">
        <is>
          <t>검사 6종(기초정보/임계/datainfo/계통도/품질/EPANET) 집계</t>
        </is>
      </c>
      <c r="F131" s="4" t="inlineStr">
        <is>
          <t>EO</t>
        </is>
      </c>
      <c r="G131" s="4">
        <f>IF(F131="","",IF(F131="EI",4,IF(F131="EO",5.2,IF(F131="EQ",3.9,IF(F131="ILF",7.5,IF(F131="EIF",5.4,""))))))</f>
        <v/>
      </c>
      <c r="H131" s="4" t="inlineStr">
        <is>
          <t>Y</t>
        </is>
      </c>
    </row>
    <row r="132">
      <c r="B132" s="6" t="n"/>
      <c r="C132" s="7" t="inlineStr">
        <is>
          <t>11. 관리·공통</t>
        </is>
      </c>
      <c r="D132" s="6" t="n"/>
      <c r="E132" s="6" t="n"/>
      <c r="F132" s="6" t="n"/>
      <c r="G132" s="6" t="n"/>
      <c r="H132" s="6" t="n"/>
    </row>
    <row r="133">
      <c r="B133" s="4" t="n"/>
      <c r="C133" s="4" t="n"/>
      <c r="D133" s="8" t="inlineStr">
        <is>
          <t>로그인·인증</t>
        </is>
      </c>
      <c r="E133" s="8" t="inlineStr">
        <is>
          <t>JWT 발급·세션 가드·bcrypt 점진 마이그레이션</t>
        </is>
      </c>
      <c r="F133" s="4" t="inlineStr">
        <is>
          <t>EI</t>
        </is>
      </c>
      <c r="G133" s="4">
        <f>IF(F133="","",IF(F133="EI",4,IF(F133="EO",5.2,IF(F133="EQ",3.9,IF(F133="ILF",7.5,IF(F133="EIF",5.4,""))))))</f>
        <v/>
      </c>
      <c r="H133" s="4" t="inlineStr">
        <is>
          <t>Y</t>
        </is>
      </c>
    </row>
    <row r="134">
      <c r="B134" s="4" t="n"/>
      <c r="C134" s="4" t="n"/>
      <c r="D134" s="8" t="inlineStr">
        <is>
          <t>사용자 데이터</t>
        </is>
      </c>
      <c r="E134" s="8" t="inlineStr">
        <is>
          <t>사용자·권한 정보</t>
        </is>
      </c>
      <c r="F134" s="4" t="inlineStr">
        <is>
          <t>ILF</t>
        </is>
      </c>
      <c r="G134" s="4">
        <f>IF(F134="","",IF(F134="EI",4,IF(F134="EO",5.2,IF(F134="EQ",3.9,IF(F134="ILF",7.5,IF(F134="EIF",5.4,""))))))</f>
        <v/>
      </c>
      <c r="H134" s="4" t="inlineStr"/>
    </row>
    <row r="135">
      <c r="B135" s="4" t="n"/>
      <c r="C135" s="4" t="n"/>
      <c r="D135" s="8" t="inlineStr">
        <is>
          <t>사용자 관리</t>
        </is>
      </c>
      <c r="E135" s="8" t="inlineStr">
        <is>
          <t>사용자 등록·수정·권한 부여</t>
        </is>
      </c>
      <c r="F135" s="4" t="inlineStr">
        <is>
          <t>EI</t>
        </is>
      </c>
      <c r="G135" s="4">
        <f>IF(F135="","",IF(F135="EI",4,IF(F135="EO",5.2,IF(F135="EQ",3.9,IF(F135="ILF",7.5,IF(F135="EIF",5.4,""))))))</f>
        <v/>
      </c>
      <c r="H135" s="4" t="inlineStr"/>
    </row>
    <row r="136">
      <c r="B136" s="4" t="n"/>
      <c r="C136" s="4" t="n"/>
      <c r="D136" s="8" t="inlineStr">
        <is>
          <t>메뉴 관리</t>
        </is>
      </c>
      <c r="E136" s="8" t="inlineStr">
        <is>
          <t>메뉴 트리·권한별 접근 제어</t>
        </is>
      </c>
      <c r="F136" s="4" t="inlineStr">
        <is>
          <t>EI</t>
        </is>
      </c>
      <c r="G136" s="4">
        <f>IF(F136="","",IF(F136="EI",4,IF(F136="EO",5.2,IF(F136="EQ",3.9,IF(F136="ILF",7.5,IF(F136="EIF",5.4,""))))))</f>
        <v/>
      </c>
      <c r="H136" s="4" t="inlineStr"/>
    </row>
    <row r="137">
      <c r="B137" s="4" t="n"/>
      <c r="C137" s="4" t="n"/>
      <c r="D137" s="8" t="inlineStr">
        <is>
          <t>메뉴 데이터</t>
        </is>
      </c>
      <c r="E137" s="8" t="inlineStr">
        <is>
          <t>메뉴 트리·권한 매핑</t>
        </is>
      </c>
      <c r="F137" s="4" t="inlineStr">
        <is>
          <t>ILF</t>
        </is>
      </c>
      <c r="G137" s="4">
        <f>IF(F137="","",IF(F137="EI",4,IF(F137="EO",5.2,IF(F137="EQ",3.9,IF(F137="ILF",7.5,IF(F137="EIF",5.4,""))))))</f>
        <v/>
      </c>
      <c r="H137" s="4" t="inlineStr"/>
    </row>
    <row r="138">
      <c r="B138" s="4" t="n"/>
      <c r="C138" s="4" t="n"/>
      <c r="D138" s="8" t="inlineStr">
        <is>
          <t>사이트 설정</t>
        </is>
      </c>
      <c r="E138" s="8" t="inlineStr">
        <is>
          <t>기능 토글(SKU)·지도·AI 파라미터·키오스크 설정 통합</t>
        </is>
      </c>
      <c r="F138" s="4" t="inlineStr">
        <is>
          <t>EI</t>
        </is>
      </c>
      <c r="G138" s="4">
        <f>IF(F138="","",IF(F138="EI",4,IF(F138="EO",5.2,IF(F138="EQ",3.9,IF(F138="ILF",7.5,IF(F138="EIF",5.4,""))))))</f>
        <v/>
      </c>
      <c r="H138" s="4" t="inlineStr">
        <is>
          <t>Y</t>
        </is>
      </c>
    </row>
    <row r="139">
      <c r="B139" s="4" t="n"/>
      <c r="C139" s="4" t="n"/>
      <c r="D139" s="8" t="inlineStr">
        <is>
          <t>설정 데이터</t>
        </is>
      </c>
      <c r="E139" s="8" t="inlineStr">
        <is>
          <t>사이트 설정 코드(tb_comm_code)</t>
        </is>
      </c>
      <c r="F139" s="4" t="inlineStr">
        <is>
          <t>ILF</t>
        </is>
      </c>
      <c r="G139" s="4">
        <f>IF(F139="","",IF(F139="EI",4,IF(F139="EO",5.2,IF(F139="EQ",3.9,IF(F139="ILF",7.5,IF(F139="EIF",5.4,""))))))</f>
        <v/>
      </c>
      <c r="H139" s="4" t="inlineStr"/>
    </row>
    <row r="140">
      <c r="B140" s="4" t="n"/>
      <c r="C140" s="4" t="n"/>
      <c r="D140" s="8" t="inlineStr">
        <is>
          <t>FAQ 관리</t>
        </is>
      </c>
      <c r="E140" s="8" t="inlineStr">
        <is>
          <t>FAQ 등록·노출 관리</t>
        </is>
      </c>
      <c r="F140" s="4" t="inlineStr">
        <is>
          <t>EI</t>
        </is>
      </c>
      <c r="G140" s="4">
        <f>IF(F140="","",IF(F140="EI",4,IF(F140="EO",5.2,IF(F140="EQ",3.9,IF(F140="ILF",7.5,IF(F140="EIF",5.4,""))))))</f>
        <v/>
      </c>
      <c r="H140" s="4" t="inlineStr"/>
    </row>
    <row r="141">
      <c r="B141" s="4" t="n"/>
      <c r="C141" s="4" t="n"/>
      <c r="D141" s="8" t="inlineStr">
        <is>
          <t>시설 파일 관리</t>
        </is>
      </c>
      <c r="E141" s="8" t="inlineStr">
        <is>
          <t>시설 사진·계통도·매뉴얼 파일 연결 관리</t>
        </is>
      </c>
      <c r="F141" s="4" t="inlineStr">
        <is>
          <t>EI</t>
        </is>
      </c>
      <c r="G141" s="4">
        <f>IF(F141="","",IF(F141="EI",4,IF(F141="EO",5.2,IF(F141="EQ",3.9,IF(F141="ILF",7.5,IF(F141="EIF",5.4,""))))))</f>
        <v/>
      </c>
      <c r="H141" s="4" t="inlineStr"/>
    </row>
    <row r="142">
      <c r="B142" s="4" t="n"/>
      <c r="C142" s="4" t="n"/>
      <c r="D142" s="8" t="inlineStr">
        <is>
          <t>파일 저장 데이터</t>
        </is>
      </c>
      <c r="E142" s="8" t="inlineStr">
        <is>
          <t>파일 메타·저장소 연동</t>
        </is>
      </c>
      <c r="F142" s="4" t="inlineStr">
        <is>
          <t>ILF</t>
        </is>
      </c>
      <c r="G142" s="4">
        <f>IF(F142="","",IF(F142="EI",4,IF(F142="EO",5.2,IF(F142="EQ",3.9,IF(F142="ILF",7.5,IF(F142="EIF",5.4,""))))))</f>
        <v/>
      </c>
      <c r="H142" s="4" t="inlineStr"/>
    </row>
    <row r="143">
      <c r="B143" s="4" t="n"/>
      <c r="C143" s="4" t="n"/>
      <c r="D143" s="8" t="inlineStr">
        <is>
          <t>채팅 피드백 관리</t>
        </is>
      </c>
      <c r="E143" s="8" t="inlineStr">
        <is>
          <t>오답 피드백 목록·처리 현황</t>
        </is>
      </c>
      <c r="F143" s="4" t="inlineStr">
        <is>
          <t>EQ</t>
        </is>
      </c>
      <c r="G143" s="4">
        <f>IF(F143="","",IF(F143="EI",4,IF(F143="EO",5.2,IF(F143="EQ",3.9,IF(F143="ILF",7.5,IF(F143="EIF",5.4,""))))))</f>
        <v/>
      </c>
      <c r="H143" s="4" t="inlineStr"/>
    </row>
    <row r="144">
      <c r="B144" s="4" t="n"/>
      <c r="C144" s="4" t="n"/>
      <c r="D144" s="8" t="inlineStr">
        <is>
          <t>LLM 서술 관찰</t>
        </is>
      </c>
      <c r="E144" s="8" t="inlineStr">
        <is>
          <t>LLM 참고 의견 생성 이력 관찰</t>
        </is>
      </c>
      <c r="F144" s="4" t="inlineStr">
        <is>
          <t>EQ</t>
        </is>
      </c>
      <c r="G144" s="4">
        <f>IF(F144="","",IF(F144="EI",4,IF(F144="EO",5.2,IF(F144="EQ",3.9,IF(F144="ILF",7.5,IF(F144="EIF",5.4,""))))))</f>
        <v/>
      </c>
      <c r="H144" s="4" t="inlineStr"/>
    </row>
    <row r="145">
      <c r="B145" s="4" t="n"/>
      <c r="C145" s="4" t="n"/>
      <c r="D145" s="8" t="inlineStr">
        <is>
          <t>보고서 카테고리 관리</t>
        </is>
      </c>
      <c r="E145" s="8" t="inlineStr">
        <is>
          <t>보고서 분류 체계 관리</t>
        </is>
      </c>
      <c r="F145" s="4" t="inlineStr">
        <is>
          <t>EI</t>
        </is>
      </c>
      <c r="G145" s="4">
        <f>IF(F145="","",IF(F145="EI",4,IF(F145="EO",5.2,IF(F145="EQ",3.9,IF(F145="ILF",7.5,IF(F145="EIF",5.4,""))))))</f>
        <v/>
      </c>
      <c r="H145" s="4" t="inlineStr"/>
    </row>
    <row r="146">
      <c r="B146" s="4" t="n"/>
      <c r="C146" s="4" t="n"/>
      <c r="D146" s="8" t="inlineStr">
        <is>
          <t>AI 모델 평가</t>
        </is>
      </c>
      <c r="E146" s="8" t="inlineStr">
        <is>
          <t>GBT·IForest 평가 지표 통합 화면</t>
        </is>
      </c>
      <c r="F146" s="4" t="inlineStr">
        <is>
          <t>EQ</t>
        </is>
      </c>
      <c r="G146" s="4">
        <f>IF(F146="","",IF(F146="EI",4,IF(F146="EO",5.2,IF(F146="EQ",3.9,IF(F146="ILF",7.5,IF(F146="EIF",5.4,""))))))</f>
        <v/>
      </c>
      <c r="H146" s="4" t="inlineStr"/>
    </row>
    <row r="147">
      <c r="B147" s="4" t="n"/>
      <c r="C147" s="4" t="n"/>
      <c r="D147" s="8" t="inlineStr">
        <is>
          <t>감사 로그</t>
        </is>
      </c>
      <c r="E147" s="8" t="inlineStr">
        <is>
          <t>주요 행위 감사 추적 조회</t>
        </is>
      </c>
      <c r="F147" s="4" t="inlineStr">
        <is>
          <t>EQ</t>
        </is>
      </c>
      <c r="G147" s="4">
        <f>IF(F147="","",IF(F147="EI",4,IF(F147="EO",5.2,IF(F147="EQ",3.9,IF(F147="ILF",7.5,IF(F147="EIF",5.4,""))))))</f>
        <v/>
      </c>
      <c r="H147" s="4" t="inlineStr"/>
    </row>
    <row r="148">
      <c r="B148" s="4" t="n"/>
      <c r="C148" s="4" t="n"/>
      <c r="D148" s="8" t="inlineStr">
        <is>
          <t>감사 로그 데이터</t>
        </is>
      </c>
      <c r="E148" s="8" t="inlineStr">
        <is>
          <t>감사 이벤트 저장</t>
        </is>
      </c>
      <c r="F148" s="4" t="inlineStr">
        <is>
          <t>ILF</t>
        </is>
      </c>
      <c r="G148" s="4">
        <f>IF(F148="","",IF(F148="EI",4,IF(F148="EO",5.2,IF(F148="EQ",3.9,IF(F148="ILF",7.5,IF(F148="EIF",5.4,""))))))</f>
        <v/>
      </c>
      <c r="H148" s="4" t="inlineStr"/>
    </row>
    <row r="149">
      <c r="B149" s="4" t="n"/>
      <c r="C149" s="4" t="n"/>
      <c r="D149" s="8" t="inlineStr">
        <is>
          <t>채팅 카드 갤러리</t>
        </is>
      </c>
      <c r="E149" s="8" t="inlineStr">
        <is>
          <t>카드 유형별 미리보기 갤러리</t>
        </is>
      </c>
      <c r="F149" s="4" t="inlineStr">
        <is>
          <t>EQ</t>
        </is>
      </c>
      <c r="G149" s="4">
        <f>IF(F149="","",IF(F149="EI",4,IF(F149="EO",5.2,IF(F149="EQ",3.9,IF(F149="ILF",7.5,IF(F149="EIF",5.4,""))))))</f>
        <v/>
      </c>
      <c r="H149" s="4" t="inlineStr"/>
    </row>
    <row r="150">
      <c r="B150" s="4" t="n"/>
      <c r="C150" s="4" t="n"/>
      <c r="D150" s="8" t="inlineStr">
        <is>
          <t>시스템 버전·모듈</t>
        </is>
      </c>
      <c r="E150" s="8" t="inlineStr">
        <is>
          <t>모듈 버전·live health·라이선스·OSS 고지·업데이트 번들</t>
        </is>
      </c>
      <c r="F150" s="4" t="inlineStr">
        <is>
          <t>EO</t>
        </is>
      </c>
      <c r="G150" s="4">
        <f>IF(F150="","",IF(F150="EI",4,IF(F150="EO",5.2,IF(F150="EQ",3.9,IF(F150="ILF",7.5,IF(F150="EIF",5.4,""))))))</f>
        <v/>
      </c>
      <c r="H150" s="4" t="inlineStr">
        <is>
          <t>Y</t>
        </is>
      </c>
    </row>
    <row r="151">
      <c r="B151" s="4" t="n"/>
      <c r="C151" s="4" t="n"/>
      <c r="D151" s="8" t="inlineStr">
        <is>
          <t>모듈 버전 데이터</t>
        </is>
      </c>
      <c r="E151" s="8" t="inlineStr">
        <is>
          <t>모듈·라이선스·업데이트 이력</t>
        </is>
      </c>
      <c r="F151" s="4" t="inlineStr">
        <is>
          <t>ILF</t>
        </is>
      </c>
      <c r="G151" s="4">
        <f>IF(F151="","",IF(F151="EI",4,IF(F151="EO",5.2,IF(F151="EQ",3.9,IF(F151="ILF",7.5,IF(F151="EIF",5.4,""))))))</f>
        <v/>
      </c>
      <c r="H151" s="4" t="inlineStr"/>
    </row>
    <row r="152">
      <c r="B152" s="4" t="n"/>
      <c r="C152" s="4" t="n"/>
      <c r="D152" s="8" t="inlineStr">
        <is>
          <t>테마·레이아웃 설정</t>
        </is>
      </c>
      <c r="E152" s="8" t="inlineStr">
        <is>
          <t>브랜드 컬러·사이드바/탑바·다크/라이트</t>
        </is>
      </c>
      <c r="F152" s="4" t="inlineStr">
        <is>
          <t>EI</t>
        </is>
      </c>
      <c r="G152" s="4">
        <f>IF(F152="","",IF(F152="EI",4,IF(F152="EO",5.2,IF(F152="EQ",3.9,IF(F152="ILF",7.5,IF(F152="EIF",5.4,""))))))</f>
        <v/>
      </c>
      <c r="H152" s="4" t="inlineStr"/>
    </row>
    <row r="153">
      <c r="B153" s="6" t="n"/>
      <c r="C153" s="7" t="inlineStr">
        <is>
          <t>12. 데이터 수집·품질</t>
        </is>
      </c>
      <c r="D153" s="6" t="n"/>
      <c r="E153" s="6" t="n"/>
      <c r="F153" s="6" t="n"/>
      <c r="G153" s="6" t="n"/>
      <c r="H153" s="6" t="n"/>
    </row>
    <row r="154">
      <c r="B154" s="4" t="n"/>
      <c r="C154" s="4" t="n"/>
      <c r="D154" s="8" t="inlineStr">
        <is>
          <t>SCADA 수집 연계</t>
        </is>
      </c>
      <c r="E154" s="8" t="inlineStr">
        <is>
          <t>Node-RED 경유 계측 데이터 수집 연계</t>
        </is>
      </c>
      <c r="F154" s="4" t="inlineStr">
        <is>
          <t>EIF</t>
        </is>
      </c>
      <c r="G154" s="4">
        <f>IF(F154="","",IF(F154="EI",4,IF(F154="EO",5.2,IF(F154="EQ",3.9,IF(F154="ILF",7.5,IF(F154="EIF",5.4,""))))))</f>
        <v/>
      </c>
      <c r="H154" s="4" t="inlineStr">
        <is>
          <t>Y</t>
        </is>
      </c>
    </row>
    <row r="155">
      <c r="B155" s="4" t="n"/>
      <c r="C155" s="4" t="n"/>
      <c r="D155" s="8" t="inlineStr">
        <is>
          <t>알람 조건 엔진 연계</t>
        </is>
      </c>
      <c r="E155" s="8" t="inlineStr">
        <is>
          <t>수위/압력/펌프 조건검토·경보 발생/해제 연계</t>
        </is>
      </c>
      <c r="F155" s="4" t="inlineStr">
        <is>
          <t>EIF</t>
        </is>
      </c>
      <c r="G155" s="4">
        <f>IF(F155="","",IF(F155="EI",4,IF(F155="EO",5.2,IF(F155="EQ",3.9,IF(F155="ILF",7.5,IF(F155="EIF",5.4,""))))))</f>
        <v/>
      </c>
      <c r="H155" s="4" t="inlineStr">
        <is>
          <t>Y</t>
        </is>
      </c>
    </row>
    <row r="156">
      <c r="B156" s="4" t="n"/>
      <c r="C156" s="4" t="n"/>
      <c r="D156" s="8" t="inlineStr">
        <is>
          <t>태그 품질 계층</t>
        </is>
      </c>
      <c r="E156" s="8" t="inlineStr">
        <is>
          <t>포화·고착·무신호·DI반전·값이탈 5종 검사·판정 게이트</t>
        </is>
      </c>
      <c r="F156" s="4" t="inlineStr">
        <is>
          <t>EO</t>
        </is>
      </c>
      <c r="G156" s="4">
        <f>IF(F156="","",IF(F156="EI",4,IF(F156="EO",5.2,IF(F156="EQ",3.9,IF(F156="ILF",7.5,IF(F156="EIF",5.4,""))))))</f>
        <v/>
      </c>
      <c r="H156" s="4" t="inlineStr">
        <is>
          <t>Y</t>
        </is>
      </c>
    </row>
    <row r="157">
      <c r="B157" s="4" t="n"/>
      <c r="C157" s="4" t="n"/>
      <c r="D157" s="8" t="inlineStr">
        <is>
          <t>품질 데이터</t>
        </is>
      </c>
      <c r="E157" s="8" t="inlineStr">
        <is>
          <t>태그 품질 상태 저장</t>
        </is>
      </c>
      <c r="F157" s="4" t="inlineStr">
        <is>
          <t>ILF</t>
        </is>
      </c>
      <c r="G157" s="4">
        <f>IF(F157="","",IF(F157="EI",4,IF(F157="EO",5.2,IF(F157="EQ",3.9,IF(F157="ILF",7.5,IF(F157="EIF",5.4,""))))))</f>
        <v/>
      </c>
      <c r="H157" s="4" t="inlineStr"/>
    </row>
    <row r="158">
      <c r="B158" s="4" t="n"/>
      <c r="C158" s="4" t="n"/>
      <c r="D158" s="8" t="inlineStr">
        <is>
          <t>사전집계 관리</t>
        </is>
      </c>
      <c r="E158" s="8" t="inlineStr">
        <is>
          <t>1h/5분 연속 집계·압축 정책 운영</t>
        </is>
      </c>
      <c r="F158" s="4" t="inlineStr">
        <is>
          <t>EO</t>
        </is>
      </c>
      <c r="G158" s="4">
        <f>IF(F158="","",IF(F158="EI",4,IF(F158="EO",5.2,IF(F158="EQ",3.9,IF(F158="ILF",7.5,IF(F158="EIF",5.4,""))))))</f>
        <v/>
      </c>
      <c r="H158" s="4" t="inlineStr"/>
    </row>
    <row r="159">
      <c r="B159" s="5" t="inlineStr">
        <is>
          <t>합계</t>
        </is>
      </c>
      <c r="C159" s="5" t="n"/>
      <c r="D159" s="5" t="n"/>
      <c r="E159" s="5" t="n"/>
      <c r="F159" s="5" t="n"/>
      <c r="G159" s="5">
        <f>SUM(G5:G158)</f>
        <v/>
      </c>
      <c r="H159" s="5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</cols>
  <sheetData>
    <row r="1">
      <c r="B1" s="1" t="inlineStr">
        <is>
          <t>"SLM 스마트 물관리 시스템" 소프트웨어 개발비 산정</t>
        </is>
      </c>
    </row>
    <row r="2">
      <c r="I2" s="2" t="inlineStr">
        <is>
          <t>(소프트웨어사업 대가산정 가이드, KOSA)</t>
        </is>
      </c>
    </row>
    <row r="4">
      <c r="B4" s="9" t="inlineStr">
        <is>
          <t>○ 개발원가 산정</t>
        </is>
      </c>
      <c r="J4" s="2" t="inlineStr">
        <is>
          <t>(단위: 원)</t>
        </is>
      </c>
    </row>
    <row r="5">
      <c r="A5" t="inlineStr"/>
      <c r="B5" s="3" t="inlineStr">
        <is>
          <t>총기능점수</t>
        </is>
      </c>
      <c r="C5" s="3" t="inlineStr">
        <is>
          <t>기능점수당 단가</t>
        </is>
      </c>
      <c r="D5" s="3" t="inlineStr">
        <is>
          <t>보정계수</t>
        </is>
      </c>
      <c r="E5" s="3" t="inlineStr"/>
      <c r="F5" s="3" t="inlineStr"/>
      <c r="G5" s="3" t="inlineStr"/>
      <c r="H5" s="3" t="inlineStr"/>
      <c r="I5" s="3" t="inlineStr">
        <is>
          <t>개발원가</t>
        </is>
      </c>
    </row>
    <row r="6">
      <c r="A6" t="inlineStr"/>
      <c r="B6" s="3" t="inlineStr"/>
      <c r="C6" s="3" t="inlineStr"/>
      <c r="D6" s="3" t="inlineStr">
        <is>
          <t>규모</t>
        </is>
      </c>
      <c r="E6" s="3" t="inlineStr">
        <is>
          <t>연계복잡성</t>
        </is>
      </c>
      <c r="F6" s="3" t="inlineStr">
        <is>
          <t>성능</t>
        </is>
      </c>
      <c r="G6" s="3" t="inlineStr">
        <is>
          <t>운영환경</t>
        </is>
      </c>
      <c r="H6" s="3" t="inlineStr">
        <is>
          <t>보안성</t>
        </is>
      </c>
      <c r="I6" s="3" t="inlineStr"/>
    </row>
    <row r="7">
      <c r="B7" s="4">
        <f>'FP산정(간이법)'!G159</f>
        <v/>
      </c>
      <c r="C7" s="4" t="n">
        <v>605784</v>
      </c>
      <c r="D7" s="4">
        <f>J21</f>
        <v/>
      </c>
      <c r="E7" s="4">
        <f>J22</f>
        <v/>
      </c>
      <c r="F7" s="4">
        <f>J23</f>
        <v/>
      </c>
      <c r="G7" s="4">
        <f>J24</f>
        <v/>
      </c>
      <c r="H7" s="4">
        <f>J25</f>
        <v/>
      </c>
      <c r="I7" s="4">
        <f>ROUND(PRODUCT(B7:H7),0)</f>
        <v/>
      </c>
    </row>
    <row r="8">
      <c r="B8" s="5" t="inlineStr">
        <is>
          <t>합계(보정 후 개발원가)</t>
        </is>
      </c>
      <c r="C8" s="5" t="n"/>
      <c r="D8" s="5" t="n"/>
      <c r="E8" s="5" t="n"/>
      <c r="F8" s="5" t="n"/>
      <c r="G8" s="5" t="n"/>
      <c r="H8" s="5" t="n"/>
      <c r="I8" s="5">
        <f>I7</f>
        <v/>
      </c>
    </row>
    <row r="9">
      <c r="B9" s="4" t="inlineStr">
        <is>
          <t>이윤 (개발원가의 25% 이내)</t>
        </is>
      </c>
      <c r="C9" s="4" t="n"/>
      <c r="D9" s="4" t="n"/>
      <c r="E9" s="4" t="n"/>
      <c r="F9" s="4" t="n"/>
      <c r="G9" s="4" t="n"/>
      <c r="H9" s="4" t="n">
        <v>0.2</v>
      </c>
      <c r="I9" s="4">
        <f>ROUND(I8*H9,0)</f>
        <v/>
      </c>
    </row>
    <row r="10">
      <c r="B10" s="4" t="inlineStr">
        <is>
          <t>직접경비</t>
        </is>
      </c>
      <c r="C10" s="4" t="n"/>
      <c r="D10" s="4" t="n"/>
      <c r="E10" s="4" t="n"/>
      <c r="F10" s="4" t="n"/>
      <c r="G10" s="4" t="n"/>
      <c r="H10" s="4" t="n"/>
      <c r="I10" s="4">
        <f>I17</f>
        <v/>
      </c>
    </row>
    <row r="11">
      <c r="B11" s="10" t="inlineStr">
        <is>
          <t>소프트웨어 개발비 (부가세 별도)</t>
        </is>
      </c>
      <c r="C11" s="10" t="n"/>
      <c r="D11" s="10" t="n"/>
      <c r="E11" s="10" t="n"/>
      <c r="F11" s="10" t="n"/>
      <c r="G11" s="10" t="n"/>
      <c r="H11" s="10" t="n"/>
      <c r="I11" s="10">
        <f>SUM(I8:I10)</f>
        <v/>
      </c>
    </row>
    <row r="13">
      <c r="B13" s="9" t="inlineStr">
        <is>
          <t>○ 직접경비</t>
        </is>
      </c>
    </row>
    <row r="14">
      <c r="A14" t="inlineStr"/>
      <c r="B14" s="3" t="inlineStr">
        <is>
          <t>구분</t>
        </is>
      </c>
      <c r="C14" s="3" t="inlineStr">
        <is>
          <t>산출내역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금액</t>
        </is>
      </c>
    </row>
    <row r="15">
      <c r="B15" s="4" t="n"/>
      <c r="C15" s="4" t="inlineStr">
        <is>
          <t>직접경비 요소 없음 (폐쇄망 온프레미스 — 발주자 제공 인프라 기준)</t>
        </is>
      </c>
      <c r="D15" s="4" t="n"/>
      <c r="E15" s="4" t="n"/>
      <c r="F15" s="4" t="n"/>
      <c r="G15" s="4" t="n"/>
      <c r="H15" s="4" t="n"/>
      <c r="I15" s="4" t="n">
        <v>0</v>
      </c>
    </row>
    <row r="17">
      <c r="B17" s="5" t="inlineStr">
        <is>
          <t>합 계</t>
        </is>
      </c>
      <c r="C17" s="5" t="n"/>
      <c r="D17" s="5" t="n"/>
      <c r="E17" s="5" t="n"/>
      <c r="F17" s="5" t="n"/>
      <c r="G17" s="5" t="n"/>
      <c r="H17" s="5" t="n"/>
      <c r="I17" s="5">
        <f>SUM(I15:I16)</f>
        <v/>
      </c>
    </row>
    <row r="19">
      <c r="B19" s="9" t="inlineStr">
        <is>
          <t>○ 보정계수 산정</t>
        </is>
      </c>
    </row>
    <row r="20">
      <c r="A20" t="inlineStr"/>
      <c r="B20" s="3" t="inlineStr">
        <is>
          <t>보정계수 구분</t>
        </is>
      </c>
      <c r="C20" s="3" t="inlineStr">
        <is>
          <t>복잡도 및 난이도 수준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보정계수</t>
        </is>
      </c>
    </row>
    <row r="21">
      <c r="B21" s="4" t="inlineStr">
        <is>
          <t>SW규모</t>
        </is>
      </c>
      <c r="C21" s="8">
        <f> 0.4057 × (ln(FP) − 7.1978)² + 0.8878  (500FP 미만 1.28, 3,000FP 초과 1.153)</f>
        <v/>
      </c>
      <c r="D21" s="4" t="n"/>
      <c r="E21" s="4" t="n"/>
      <c r="F21" s="4" t="n"/>
      <c r="G21" s="4" t="n"/>
      <c r="H21" s="4" t="n"/>
      <c r="I21" s="4" t="n"/>
      <c r="J21" s="4">
        <f>IF(B7&lt;500,1.28,IF(B7&gt;3000,1.153,ROUND(0.4057*(LN(B7)-7.1978)^2+0.8878,4)))</f>
        <v/>
      </c>
    </row>
    <row r="22">
      <c r="B22" s="4" t="inlineStr">
        <is>
          <t>연계복잡성</t>
        </is>
      </c>
      <c r="C22" s="8" t="inlineStr">
        <is>
          <t>1. 타 기관 연계 없음 (폐쇄망 단독 운영 — SCADA 연계는 내부 연계)</t>
        </is>
      </c>
      <c r="D22" s="4" t="n"/>
      <c r="E22" s="4" t="n"/>
      <c r="F22" s="4" t="n"/>
      <c r="G22" s="4" t="n"/>
      <c r="H22" s="4" t="n"/>
      <c r="I22" s="4" t="n"/>
      <c r="J22" s="4" t="n">
        <v>0.88</v>
      </c>
    </row>
    <row r="23">
      <c r="B23" s="4" t="inlineStr">
        <is>
          <t>성능 요구수준</t>
        </is>
      </c>
      <c r="C23" s="8" t="inlineStr">
        <is>
          <t>3. 응답시간·처리율이 피크타임에 중요하며 처리 시한이 명시 (실시간 감시·알람)</t>
        </is>
      </c>
      <c r="D23" s="4" t="n"/>
      <c r="E23" s="4" t="n"/>
      <c r="F23" s="4" t="n"/>
      <c r="G23" s="4" t="n"/>
      <c r="H23" s="4" t="n"/>
      <c r="I23" s="4" t="n"/>
      <c r="J23" s="4" t="n">
        <v>1</v>
      </c>
    </row>
    <row r="24">
      <c r="B24" s="4" t="inlineStr">
        <is>
          <t>운영환경 호환성</t>
        </is>
      </c>
      <c r="C24" s="8" t="inlineStr">
        <is>
          <t>3. 호환성 요구 있음 — 유사 HW·SW 환경(고객별 온프레미스 설치)</t>
        </is>
      </c>
      <c r="D24" s="4" t="n"/>
      <c r="E24" s="4" t="n"/>
      <c r="F24" s="4" t="n"/>
      <c r="G24" s="4" t="n"/>
      <c r="H24" s="4" t="n"/>
      <c r="I24" s="4" t="n"/>
      <c r="J24" s="4" t="n">
        <v>1.06</v>
      </c>
    </row>
    <row r="25">
      <c r="B25" s="4" t="inlineStr">
        <is>
          <t>보안성 요구수준</t>
        </is>
      </c>
      <c r="C25" s="8" t="inlineStr">
        <is>
          <t>2. 2가지 요구사항 포함 (암호화(JWT·bcrypt)·시큐어코딩)</t>
        </is>
      </c>
      <c r="D25" s="4" t="n"/>
      <c r="E25" s="4" t="n"/>
      <c r="F25" s="4" t="n"/>
      <c r="G25" s="4" t="n"/>
      <c r="H25" s="4" t="n"/>
      <c r="I25" s="4" t="n"/>
      <c r="J25" s="4" t="n">
        <v>1</v>
      </c>
    </row>
    <row r="27">
      <c r="B27" s="9" t="inlineStr">
        <is>
          <t>○ FP 집계</t>
        </is>
      </c>
    </row>
    <row r="28">
      <c r="A28" t="inlineStr"/>
      <c r="B28" s="3" t="inlineStr">
        <is>
          <t>구분</t>
        </is>
      </c>
      <c r="C28" s="3" t="inlineStr">
        <is>
          <t>ILF</t>
        </is>
      </c>
      <c r="D28" s="3" t="inlineStr">
        <is>
          <t>EIF</t>
        </is>
      </c>
      <c r="E28" s="3" t="inlineStr">
        <is>
          <t>EI</t>
        </is>
      </c>
      <c r="F28" s="3" t="inlineStr">
        <is>
          <t>EO</t>
        </is>
      </c>
      <c r="G28" s="3" t="inlineStr">
        <is>
          <t>EQ</t>
        </is>
      </c>
      <c r="H28" s="3" t="inlineStr">
        <is>
          <t>계</t>
        </is>
      </c>
    </row>
    <row r="29">
      <c r="B29" s="4" t="inlineStr">
        <is>
          <t>복잡도(가중치)</t>
        </is>
      </c>
      <c r="C29" s="4" t="n">
        <v>7.5</v>
      </c>
      <c r="D29" s="4" t="n">
        <v>5.4</v>
      </c>
      <c r="E29" s="4" t="n">
        <v>4</v>
      </c>
      <c r="F29" s="4" t="n">
        <v>5.2</v>
      </c>
      <c r="G29" s="4" t="n">
        <v>3.9</v>
      </c>
      <c r="H29" s="4" t="n"/>
    </row>
    <row r="30">
      <c r="B30" s="4" t="inlineStr">
        <is>
          <t>기능수</t>
        </is>
      </c>
      <c r="C30" s="4">
        <f>COUNTIF('FP산정(간이법)'!$F$5:$F$158,"ILF")</f>
        <v/>
      </c>
      <c r="D30" s="4">
        <f>COUNTIF('FP산정(간이법)'!$F$5:$F$158,"EIF")</f>
        <v/>
      </c>
      <c r="E30" s="4">
        <f>COUNTIF('FP산정(간이법)'!$F$5:$F$158,"EI")</f>
        <v/>
      </c>
      <c r="F30" s="4">
        <f>COUNTIF('FP산정(간이법)'!$F$5:$F$158,"EO")</f>
        <v/>
      </c>
      <c r="G30" s="4">
        <f>COUNTIF('FP산정(간이법)'!$F$5:$F$158,"EQ")</f>
        <v/>
      </c>
      <c r="H30" s="4">
        <f>SUM(C30:G30)</f>
        <v/>
      </c>
    </row>
    <row r="31">
      <c r="B31" s="11" t="inlineStr">
        <is>
          <t>기능점수</t>
        </is>
      </c>
      <c r="C31" s="11">
        <f>SUMIF('FP산정(간이법)'!$F$5:$F$158,"ILF",'FP산정(간이법)'!$G$5:$G$158)</f>
        <v/>
      </c>
      <c r="D31" s="11">
        <f>SUMIF('FP산정(간이법)'!$F$5:$F$158,"EIF",'FP산정(간이법)'!$G$5:$G$158)</f>
        <v/>
      </c>
      <c r="E31" s="11">
        <f>SUMIF('FP산정(간이법)'!$F$5:$F$158,"EI",'FP산정(간이법)'!$G$5:$G$158)</f>
        <v/>
      </c>
      <c r="F31" s="11">
        <f>SUMIF('FP산정(간이법)'!$F$5:$F$158,"EO",'FP산정(간이법)'!$G$5:$G$158)</f>
        <v/>
      </c>
      <c r="G31" s="11">
        <f>SUMIF('FP산정(간이법)'!$F$5:$F$158,"EQ",'FP산정(간이법)'!$G$5:$G$158)</f>
        <v/>
      </c>
      <c r="H31" s="11">
        <f>SUM(C31:G31)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H2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B1" s="1" t="inlineStr">
        <is>
          <t>보정계수 참조표 — FP방식(간이법)</t>
        </is>
      </c>
    </row>
    <row r="3">
      <c r="B3" s="9" t="inlineStr">
        <is>
          <t>○ 규모 보정계수</t>
        </is>
      </c>
    </row>
    <row r="4">
      <c r="B4" s="4" t="inlineStr">
        <is>
          <t>SW규모</t>
        </is>
      </c>
      <c r="C4" s="4">
        <f> 0.4057 × (ln(기능점수) − 7.1978)² + 0.8878  (단, 500FP 미만 1.28 / 3,000FP 초과 1.153)</f>
        <v/>
      </c>
      <c r="D4" s="4" t="n"/>
      <c r="E4" s="4" t="n"/>
      <c r="F4" s="4" t="n"/>
      <c r="G4" s="4" t="n"/>
      <c r="H4" s="4" t="n"/>
    </row>
    <row r="6">
      <c r="B6" s="9" t="inlineStr">
        <is>
          <t>○ 애플리케이션 복잡도 보정계수</t>
        </is>
      </c>
    </row>
    <row r="7">
      <c r="B7" s="4" t="inlineStr">
        <is>
          <t>연계복잡성</t>
        </is>
      </c>
      <c r="C7" s="8" t="inlineStr">
        <is>
          <t>1. 타 기관 연계 없음</t>
        </is>
      </c>
      <c r="D7" s="4" t="n"/>
      <c r="E7" s="4" t="n"/>
      <c r="F7" s="4" t="n"/>
      <c r="G7" s="4" t="n"/>
      <c r="H7" s="4" t="n">
        <v>0.88</v>
      </c>
    </row>
    <row r="8">
      <c r="B8" s="4" t="n"/>
      <c r="C8" s="8" t="inlineStr">
        <is>
          <t>2. 1~2개의 타 기관 연계</t>
        </is>
      </c>
      <c r="D8" s="4" t="n"/>
      <c r="E8" s="4" t="n"/>
      <c r="F8" s="4" t="n"/>
      <c r="G8" s="4" t="n"/>
      <c r="H8" s="4" t="n">
        <v>0.9399999999999999</v>
      </c>
    </row>
    <row r="9">
      <c r="B9" s="4" t="n"/>
      <c r="C9" s="8" t="inlineStr">
        <is>
          <t>3. 3~5개의 타 기관 연계</t>
        </is>
      </c>
      <c r="D9" s="4" t="n"/>
      <c r="E9" s="4" t="n"/>
      <c r="F9" s="4" t="n"/>
      <c r="G9" s="4" t="n"/>
      <c r="H9" s="4" t="n">
        <v>1</v>
      </c>
    </row>
    <row r="10">
      <c r="B10" s="4" t="n"/>
      <c r="C10" s="8" t="inlineStr">
        <is>
          <t>4. 6~10개의 타 기관 연계</t>
        </is>
      </c>
      <c r="D10" s="4" t="n"/>
      <c r="E10" s="4" t="n"/>
      <c r="F10" s="4" t="n"/>
      <c r="G10" s="4" t="n"/>
      <c r="H10" s="4" t="n">
        <v>1.06</v>
      </c>
    </row>
    <row r="11">
      <c r="B11" s="4" t="n"/>
      <c r="C11" s="8" t="inlineStr">
        <is>
          <t>5. 10개 초과의 타 기관 연계</t>
        </is>
      </c>
      <c r="D11" s="4" t="n"/>
      <c r="E11" s="4" t="n"/>
      <c r="F11" s="4" t="n"/>
      <c r="G11" s="4" t="n"/>
      <c r="H11" s="4" t="n">
        <v>1.12</v>
      </c>
    </row>
    <row r="12">
      <c r="B12" s="4" t="inlineStr">
        <is>
          <t>성능 요구수준</t>
        </is>
      </c>
      <c r="C12" s="8" t="inlineStr">
        <is>
          <t>1. 응답성능에 대한 특별한 요구사항이 없다.</t>
        </is>
      </c>
      <c r="D12" s="4" t="n"/>
      <c r="E12" s="4" t="n"/>
      <c r="F12" s="4" t="n"/>
      <c r="G12" s="4" t="n"/>
      <c r="H12" s="4" t="n">
        <v>0.91</v>
      </c>
    </row>
    <row r="13">
      <c r="B13" s="4" t="n"/>
      <c r="C13" s="8" t="inlineStr">
        <is>
          <t>2. 요구사항이 있으나 특별한 조치는 불필요</t>
        </is>
      </c>
      <c r="D13" s="4" t="n"/>
      <c r="E13" s="4" t="n"/>
      <c r="F13" s="4" t="n"/>
      <c r="G13" s="4" t="n"/>
      <c r="H13" s="4" t="n">
        <v>0.95</v>
      </c>
    </row>
    <row r="14">
      <c r="B14" s="4" t="n"/>
      <c r="C14" s="8" t="inlineStr">
        <is>
          <t>3. 응답시간·처리율이 피크타임에 중요, 처리 시한 명시</t>
        </is>
      </c>
      <c r="D14" s="4" t="n"/>
      <c r="E14" s="4" t="n"/>
      <c r="F14" s="4" t="n"/>
      <c r="G14" s="4" t="n"/>
      <c r="H14" s="4" t="n">
        <v>1</v>
      </c>
    </row>
    <row r="15">
      <c r="B15" s="4" t="n"/>
      <c r="C15" s="8" t="inlineStr">
        <is>
          <t>4. 모든 업무시간에 중요, 처리 시한 명시</t>
        </is>
      </c>
      <c r="D15" s="4" t="n"/>
      <c r="E15" s="4" t="n"/>
      <c r="F15" s="4" t="n"/>
      <c r="G15" s="4" t="n"/>
      <c r="H15" s="4" t="n">
        <v>1.05</v>
      </c>
    </row>
    <row r="16">
      <c r="B16" s="4" t="n"/>
      <c r="C16" s="8" t="inlineStr">
        <is>
          <t>5. 엄격 — 설계·구현 단계 성능 분석도구 필요</t>
        </is>
      </c>
      <c r="D16" s="4" t="n"/>
      <c r="E16" s="4" t="n"/>
      <c r="F16" s="4" t="n"/>
      <c r="G16" s="4" t="n"/>
      <c r="H16" s="4" t="n">
        <v>1.09</v>
      </c>
    </row>
    <row r="17">
      <c r="B17" s="4" t="inlineStr">
        <is>
          <t>운영환경 호환성</t>
        </is>
      </c>
      <c r="C17" s="8" t="inlineStr">
        <is>
          <t>1. 요구사항 없음</t>
        </is>
      </c>
      <c r="D17" s="4" t="n"/>
      <c r="E17" s="4" t="n"/>
      <c r="F17" s="4" t="n"/>
      <c r="G17" s="4" t="n"/>
      <c r="H17" s="4" t="n">
        <v>0.9399999999999999</v>
      </c>
    </row>
    <row r="18">
      <c r="B18" s="4" t="n"/>
      <c r="C18" s="8" t="inlineStr">
        <is>
          <t>2. 동일 HW·SW 환경</t>
        </is>
      </c>
      <c r="D18" s="4" t="n"/>
      <c r="E18" s="4" t="n"/>
      <c r="F18" s="4" t="n"/>
      <c r="G18" s="4" t="n"/>
      <c r="H18" s="4" t="n">
        <v>1</v>
      </c>
    </row>
    <row r="19">
      <c r="B19" s="4" t="n"/>
      <c r="C19" s="8" t="inlineStr">
        <is>
          <t>3. 유사 HW·SW 환경</t>
        </is>
      </c>
      <c r="D19" s="4" t="n"/>
      <c r="E19" s="4" t="n"/>
      <c r="F19" s="4" t="n"/>
      <c r="G19" s="4" t="n"/>
      <c r="H19" s="4" t="n">
        <v>1.06</v>
      </c>
    </row>
    <row r="20">
      <c r="B20" s="4" t="n"/>
      <c r="C20" s="8" t="inlineStr">
        <is>
          <t>4. 이질적 HW·SW 환경</t>
        </is>
      </c>
      <c r="D20" s="4" t="n"/>
      <c r="E20" s="4" t="n"/>
      <c r="F20" s="4" t="n"/>
      <c r="G20" s="4" t="n"/>
      <c r="H20" s="4" t="n">
        <v>1.13</v>
      </c>
    </row>
    <row r="21">
      <c r="B21" s="4" t="n"/>
      <c r="C21" s="8" t="inlineStr">
        <is>
          <t>5. 4 + 운영 절차 문서화·사전 모의훈련 요구</t>
        </is>
      </c>
      <c r="D21" s="4" t="n"/>
      <c r="E21" s="4" t="n"/>
      <c r="F21" s="4" t="n"/>
      <c r="G21" s="4" t="n"/>
      <c r="H21" s="4" t="n">
        <v>1.19</v>
      </c>
    </row>
    <row r="22">
      <c r="B22" s="4" t="inlineStr">
        <is>
          <t>보안성 수준</t>
        </is>
      </c>
      <c r="C22" s="8" t="inlineStr">
        <is>
          <t>1. 1가지 보안 요구사항</t>
        </is>
      </c>
      <c r="D22" s="4" t="n"/>
      <c r="E22" s="4" t="n"/>
      <c r="F22" s="4" t="n"/>
      <c r="G22" s="4" t="n"/>
      <c r="H22" s="4" t="n">
        <v>0.97</v>
      </c>
    </row>
    <row r="23">
      <c r="B23" s="4" t="n"/>
      <c r="C23" s="8" t="inlineStr">
        <is>
          <t>2. 2가지</t>
        </is>
      </c>
      <c r="D23" s="4" t="n"/>
      <c r="E23" s="4" t="n"/>
      <c r="F23" s="4" t="n"/>
      <c r="G23" s="4" t="n"/>
      <c r="H23" s="4" t="n">
        <v>1</v>
      </c>
    </row>
    <row r="24">
      <c r="B24" s="4" t="n"/>
      <c r="C24" s="8" t="inlineStr">
        <is>
          <t>3. 3가지</t>
        </is>
      </c>
      <c r="D24" s="4" t="n"/>
      <c r="E24" s="4" t="n"/>
      <c r="F24" s="4" t="n"/>
      <c r="G24" s="4" t="n"/>
      <c r="H24" s="4" t="n">
        <v>1.03</v>
      </c>
    </row>
    <row r="25">
      <c r="B25" s="4" t="n"/>
      <c r="C25" s="8" t="inlineStr">
        <is>
          <t>4. 4가지</t>
        </is>
      </c>
      <c r="D25" s="4" t="n"/>
      <c r="E25" s="4" t="n"/>
      <c r="F25" s="4" t="n"/>
      <c r="G25" s="4" t="n"/>
      <c r="H25" s="4" t="n">
        <v>1.06</v>
      </c>
    </row>
    <row r="26">
      <c r="B26" s="4" t="n"/>
      <c r="C26" s="8" t="inlineStr">
        <is>
          <t>5. 5가지 이상</t>
        </is>
      </c>
      <c r="D26" s="4" t="n"/>
      <c r="E26" s="4" t="n"/>
      <c r="F26" s="4" t="n"/>
      <c r="G26" s="4" t="n"/>
      <c r="H26" s="4" t="n">
        <v>1.08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직접경비 항목 (참조)</t>
        </is>
      </c>
    </row>
    <row r="2">
      <c r="A2" s="3" t="inlineStr">
        <is>
          <t>항목</t>
        </is>
      </c>
      <c r="B2" s="3" t="inlineStr">
        <is>
          <t>설명</t>
        </is>
      </c>
    </row>
    <row r="3">
      <c r="A3" s="4" t="inlineStr">
        <is>
          <t>컴퓨터시스템 사용료</t>
        </is>
      </c>
      <c r="B3" s="8" t="inlineStr">
        <is>
          <t>발주자가 제공하지 않아 자체/제3자 조달 시</t>
        </is>
      </c>
    </row>
    <row r="4">
      <c r="A4" s="4" t="inlineStr">
        <is>
          <t>소프트웨어 도구 사용료</t>
        </is>
      </c>
      <c r="B4" s="8" t="inlineStr">
        <is>
          <t>발주자 요구에 의한 SW 패키지 사용료</t>
        </is>
      </c>
    </row>
    <row r="5">
      <c r="A5" s="4" t="inlineStr">
        <is>
          <t>지급이자</t>
        </is>
      </c>
      <c r="B5" s="8" t="inlineStr">
        <is>
          <t>선투자 후정산 사업의 경우</t>
        </is>
      </c>
    </row>
    <row r="6">
      <c r="A6" s="4" t="inlineStr">
        <is>
          <t>특정기술 전문가 비용</t>
        </is>
      </c>
      <c r="B6" s="8" t="inlineStr">
        <is>
          <t>발주자 요구의 특정기술 도입 관련</t>
        </is>
      </c>
    </row>
    <row r="7">
      <c r="A7" s="4" t="inlineStr">
        <is>
          <t>여비</t>
        </is>
      </c>
      <c r="B7" s="8" t="inlineStr">
        <is>
          <t>운임·현지교통비·숙박비 등</t>
        </is>
      </c>
    </row>
    <row r="8">
      <c r="A8" s="4" t="inlineStr">
        <is>
          <t>특수자료비</t>
        </is>
      </c>
      <c r="B8" s="8" t="inlineStr">
        <is>
          <t>특허·노하우 사용료</t>
        </is>
      </c>
    </row>
    <row r="9">
      <c r="A9" s="4" t="inlineStr">
        <is>
          <t>인쇄·청사진비</t>
        </is>
      </c>
      <c r="B9" s="8" t="inlineStr">
        <is>
          <t>산출물·보고서 인쇄·복사비</t>
        </is>
      </c>
    </row>
    <row r="10">
      <c r="A10" s="4" t="inlineStr">
        <is>
          <t>자료조사비</t>
        </is>
      </c>
      <c r="B10" s="8" t="inlineStr">
        <is>
          <t>문헌·전문도서 구입</t>
        </is>
      </c>
    </row>
    <row r="11">
      <c r="A11" s="4" t="inlineStr">
        <is>
          <t>기자재시험비</t>
        </is>
      </c>
      <c r="B11" s="8" t="inlineStr">
        <is>
          <t>기자재 시험 소요 비용</t>
        </is>
      </c>
    </row>
    <row r="12">
      <c r="A12" s="4" t="inlineStr">
        <is>
          <t>위탁비(외주비)</t>
        </is>
      </c>
      <c r="B12" s="8" t="inlineStr">
        <is>
          <t>일부 외부 위탁 비용</t>
        </is>
      </c>
    </row>
    <row r="13">
      <c r="A13" s="4" t="inlineStr">
        <is>
          <t>현장운영비</t>
        </is>
      </c>
      <c r="B13" s="8" t="inlineStr">
        <is>
          <t>보조요원 급여·현장사무실 임차·운영비</t>
        </is>
      </c>
    </row>
    <row r="14">
      <c r="A14" s="4" t="inlineStr">
        <is>
          <t>모형제작비</t>
        </is>
      </c>
      <c r="B14" s="8" t="inlineStr">
        <is>
          <t>프로토타입 제작 비용</t>
        </is>
      </c>
    </row>
    <row r="15">
      <c r="A15" s="4" t="inlineStr">
        <is>
          <t>기타</t>
        </is>
      </c>
      <c r="B15" s="8" t="inlineStr">
        <is>
          <t>그 밖에 특별히 소요되는 직접비용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2" customWidth="1" min="3" max="3"/>
    <col width="9" customWidth="1" min="4" max="4"/>
    <col width="11" customWidth="1" min="5" max="5"/>
    <col width="13" customWidth="1" min="6" max="6"/>
    <col width="13" customWidth="1" min="7" max="7"/>
    <col width="14" customWidth="1" min="8" max="8"/>
    <col width="14" customWidth="1" min="9" max="9"/>
    <col width="8" customWidth="1" min="10" max="10"/>
    <col width="16" customWidth="1" min="11" max="11"/>
  </cols>
  <sheetData>
    <row r="1">
      <c r="A1" s="1" t="inlineStr">
        <is>
          <t>■ SLM 구축·설치 엔지니어링 내역 (설계금액)</t>
        </is>
      </c>
    </row>
    <row r="2">
      <c r="A2" s="3" t="inlineStr">
        <is>
          <t>구분</t>
        </is>
      </c>
      <c r="B2" s="3" t="inlineStr">
        <is>
          <t>항목</t>
        </is>
      </c>
      <c r="C2" s="3" t="inlineStr">
        <is>
          <t>작업 내용</t>
        </is>
      </c>
      <c r="D2" s="3" t="inlineStr">
        <is>
          <t>M/M</t>
        </is>
      </c>
      <c r="E2" s="3" t="inlineStr"/>
      <c r="F2" s="3" t="inlineStr"/>
      <c r="G2" s="3" t="inlineStr">
        <is>
          <t>금액(원)</t>
        </is>
      </c>
      <c r="H2" s="3" t="inlineStr"/>
      <c r="I2" s="3" t="inlineStr"/>
      <c r="J2" s="3" t="inlineStr">
        <is>
          <t>기간</t>
        </is>
      </c>
      <c r="K2" s="3" t="inlineStr">
        <is>
          <t>비고</t>
        </is>
      </c>
    </row>
    <row r="3">
      <c r="A3" s="3" t="inlineStr"/>
      <c r="B3" s="3" t="inlineStr"/>
      <c r="C3" s="3" t="inlineStr"/>
      <c r="D3" s="3" t="inlineStr">
        <is>
          <t>IT지원</t>
        </is>
      </c>
      <c r="E3" s="3" t="inlineStr">
        <is>
          <t>응용SW개발</t>
        </is>
      </c>
      <c r="F3" s="3" t="inlineStr">
        <is>
          <t>정보시스템운용</t>
        </is>
      </c>
      <c r="G3" s="3" t="inlineStr">
        <is>
          <t>IT지원</t>
        </is>
      </c>
      <c r="H3" s="3" t="inlineStr">
        <is>
          <t>응용SW개발</t>
        </is>
      </c>
      <c r="I3" s="3" t="inlineStr">
        <is>
          <t>정보시스템운용</t>
        </is>
      </c>
      <c r="J3" s="3" t="inlineStr"/>
      <c r="K3" s="3" t="inlineStr"/>
    </row>
    <row r="4">
      <c r="A4" s="4" t="inlineStr">
        <is>
          <t>설치</t>
        </is>
      </c>
      <c r="B4" s="8" t="inlineStr">
        <is>
          <t>서버 스택 설치·구성</t>
        </is>
      </c>
      <c r="C4" s="8" t="inlineStr">
        <is>
          <t>Docker 스택(DB·백엔드·프런트·Node-RED)·프로덕션 빌드·TLS 구성</t>
        </is>
      </c>
      <c r="D4" s="4" t="n"/>
      <c r="E4" s="4">
        <f>0.048*2</f>
        <v/>
      </c>
      <c r="F4" s="4">
        <f>0.048*5</f>
        <v/>
      </c>
      <c r="G4" s="4" t="n"/>
      <c r="H4" s="4">
        <f>E4*($B$41*20.5)</f>
        <v/>
      </c>
      <c r="I4" s="4">
        <f>F4*($B$42*20.5)</f>
        <v/>
      </c>
      <c r="J4" s="4" t="inlineStr">
        <is>
          <t>1주</t>
        </is>
      </c>
      <c r="K4" s="4" t="inlineStr"/>
    </row>
    <row r="5">
      <c r="A5" s="4" t="inlineStr"/>
      <c r="B5" s="8" t="inlineStr">
        <is>
          <t>DB 구축</t>
        </is>
      </c>
      <c r="C5" s="8" t="inlineStr">
        <is>
          <t>스키마·마이그레이션 적용·기초 시드·압축 정책</t>
        </is>
      </c>
      <c r="D5" s="4" t="n"/>
      <c r="E5" s="4">
        <f>0.048*2</f>
        <v/>
      </c>
      <c r="F5" s="4">
        <f>0.048*3</f>
        <v/>
      </c>
      <c r="G5" s="4" t="n"/>
      <c r="H5" s="4">
        <f>E5*($B$41*20.5)</f>
        <v/>
      </c>
      <c r="I5" s="4">
        <f>F5*($B$42*20.5)</f>
        <v/>
      </c>
      <c r="J5" s="4" t="inlineStr">
        <is>
          <t>1주</t>
        </is>
      </c>
      <c r="K5" s="4" t="inlineStr"/>
    </row>
    <row r="6">
      <c r="A6" s="4" t="inlineStr"/>
      <c r="B6" s="8" t="inlineStr">
        <is>
          <t>AI 모델 설치</t>
        </is>
      </c>
      <c r="C6" s="8" t="inlineStr">
        <is>
          <t>Ollama 모델(비전·임베딩) 오프라인 설치·검증</t>
        </is>
      </c>
      <c r="D6" s="4" t="n"/>
      <c r="E6" s="4" t="n"/>
      <c r="F6" s="4">
        <f>0.048*2</f>
        <v/>
      </c>
      <c r="G6" s="4" t="n"/>
      <c r="H6" s="4" t="n"/>
      <c r="I6" s="4">
        <f>F6*($B$42*20.5)</f>
        <v/>
      </c>
      <c r="J6" s="4" t="inlineStr">
        <is>
          <t>2일</t>
        </is>
      </c>
      <c r="K6" s="4" t="inlineStr">
        <is>
          <t>폐쇄망 반입</t>
        </is>
      </c>
    </row>
    <row r="7">
      <c r="A7" s="4" t="inlineStr"/>
      <c r="B7" s="8" t="inlineStr">
        <is>
          <t>모델 웨이트 번들 반입</t>
        </is>
      </c>
      <c r="C7" s="8" t="inlineStr">
        <is>
          <t>Chronos·Whisper 번들 설치·sha256 검증</t>
        </is>
      </c>
      <c r="D7" s="4" t="n"/>
      <c r="E7" s="4" t="n"/>
      <c r="F7" s="4">
        <f>0.048*2</f>
        <v/>
      </c>
      <c r="G7" s="4" t="n"/>
      <c r="H7" s="4" t="n"/>
      <c r="I7" s="4">
        <f>F7*($B$42*20.5)</f>
        <v/>
      </c>
      <c r="J7" s="4" t="inlineStr">
        <is>
          <t>2일</t>
        </is>
      </c>
      <c r="K7" s="4" t="inlineStr"/>
    </row>
    <row r="8">
      <c r="A8" s="4" t="inlineStr"/>
      <c r="B8" s="8" t="inlineStr">
        <is>
          <t>GIS 지도 번들 구축</t>
        </is>
      </c>
      <c r="C8" s="8" t="inlineStr">
        <is>
          <t>관할 영역 pmtiles 추출·글리프 반입·검증</t>
        </is>
      </c>
      <c r="D8" s="4" t="n"/>
      <c r="E8" s="4">
        <f>0.048*3</f>
        <v/>
      </c>
      <c r="F8" s="4" t="n"/>
      <c r="G8" s="4" t="n"/>
      <c r="H8" s="4">
        <f>E8*($B$41*20.5)</f>
        <v/>
      </c>
      <c r="I8" s="4" t="n"/>
      <c r="J8" s="4" t="inlineStr">
        <is>
          <t>3일</t>
        </is>
      </c>
      <c r="K8" s="4" t="inlineStr">
        <is>
          <t>관할별 재추출</t>
        </is>
      </c>
    </row>
    <row r="9">
      <c r="A9" s="4" t="inlineStr">
        <is>
          <t>데이터 구축</t>
        </is>
      </c>
      <c r="B9" s="8" t="inlineStr">
        <is>
          <t>태그 마스터 구축</t>
        </is>
      </c>
      <c r="C9" s="8" t="inlineStr">
        <is>
          <t>태그 등록·DATAINFO 변환룰 적용·검수 (약 2,700태그)</t>
        </is>
      </c>
      <c r="D9" s="4">
        <f>0.048*10</f>
        <v/>
      </c>
      <c r="E9" s="4">
        <f>0.048*10</f>
        <v/>
      </c>
      <c r="F9" s="4" t="n"/>
      <c r="G9" s="4">
        <f>D9*($B$40*20.5)</f>
        <v/>
      </c>
      <c r="H9" s="4">
        <f>E9*($B$41*20.5)</f>
        <v/>
      </c>
      <c r="I9" s="4" t="n"/>
      <c r="J9" s="4" t="inlineStr">
        <is>
          <t>2주</t>
        </is>
      </c>
      <c r="K9" s="4" t="inlineStr">
        <is>
          <t>룰 재현율 채점</t>
        </is>
      </c>
    </row>
    <row r="10">
      <c r="A10" s="4" t="inlineStr"/>
      <c r="B10" s="8" t="inlineStr">
        <is>
          <t>시설 기초정보 구축</t>
        </is>
      </c>
      <c r="C10" s="8" t="inlineStr">
        <is>
          <t>배수지·가압장·감압·블록 기초정보 (약 120개소)</t>
        </is>
      </c>
      <c r="D10" s="4">
        <f>0.048*10</f>
        <v/>
      </c>
      <c r="E10" s="4" t="n"/>
      <c r="F10" s="4" t="n"/>
      <c r="G10" s="4">
        <f>D10*($B$40*20.5)</f>
        <v/>
      </c>
      <c r="H10" s="4" t="n"/>
      <c r="I10" s="4" t="n"/>
      <c r="J10" s="4" t="inlineStr">
        <is>
          <t>2주</t>
        </is>
      </c>
      <c r="K10" s="4" t="inlineStr"/>
    </row>
    <row r="11">
      <c r="A11" s="4" t="inlineStr"/>
      <c r="B11" s="8" t="inlineStr">
        <is>
          <t>계통도 구축</t>
        </is>
      </c>
      <c r="C11" s="8" t="inlineStr">
        <is>
          <t>수계 관계(flow-map)·캔버스 배치·정합 lint 0건</t>
        </is>
      </c>
      <c r="D11" s="4" t="n"/>
      <c r="E11" s="4">
        <f>0.048*5</f>
        <v/>
      </c>
      <c r="F11" s="4" t="n"/>
      <c r="G11" s="4" t="n"/>
      <c r="H11" s="4">
        <f>E11*($B$41*20.5)</f>
        <v/>
      </c>
      <c r="I11" s="4" t="n"/>
      <c r="J11" s="4" t="inlineStr">
        <is>
          <t>1주</t>
        </is>
      </c>
      <c r="K11" s="4" t="inlineStr"/>
    </row>
    <row r="12">
      <c r="A12" s="4" t="inlineStr"/>
      <c r="B12" s="8" t="inlineStr">
        <is>
          <t>GIS 좌표 구축</t>
        </is>
      </c>
      <c r="C12" s="8" t="inlineStr">
        <is>
          <t>시설 좌표 등록·현장 검증</t>
        </is>
      </c>
      <c r="D12" s="4">
        <f>0.048*5</f>
        <v/>
      </c>
      <c r="E12" s="4" t="n"/>
      <c r="F12" s="4" t="n"/>
      <c r="G12" s="4">
        <f>D12*($B$40*20.5)</f>
        <v/>
      </c>
      <c r="H12" s="4" t="n"/>
      <c r="I12" s="4" t="n"/>
      <c r="J12" s="4" t="inlineStr">
        <is>
          <t>1주</t>
        </is>
      </c>
      <c r="K12" s="4" t="inlineStr"/>
    </row>
    <row r="13">
      <c r="A13" s="4" t="inlineStr"/>
      <c r="B13" s="8" t="inlineStr">
        <is>
          <t>통신망 구축</t>
        </is>
      </c>
      <c r="C13" s="8" t="inlineStr">
        <is>
          <t>장비·링크 등록 (약 300대)·토폴로지 검증</t>
        </is>
      </c>
      <c r="D13" s="4">
        <f>0.048*7</f>
        <v/>
      </c>
      <c r="E13" s="4" t="n"/>
      <c r="F13" s="4" t="n"/>
      <c r="G13" s="4">
        <f>D13*($B$40*20.5)</f>
        <v/>
      </c>
      <c r="H13" s="4" t="n"/>
      <c r="I13" s="4" t="n"/>
      <c r="J13" s="4" t="inlineStr">
        <is>
          <t>1.5주</t>
        </is>
      </c>
      <c r="K13" s="4" t="inlineStr"/>
    </row>
    <row r="14">
      <c r="A14" s="4" t="inlineStr"/>
      <c r="B14" s="8" t="inlineStr">
        <is>
          <t>EPANET 모델 구축</t>
        </is>
      </c>
      <c r="C14" s="8" t="inlineStr">
        <is>
          <t>INP 모델 작성·실측 유량 매핑·시뮬 검증</t>
        </is>
      </c>
      <c r="D14" s="4" t="n"/>
      <c r="E14" s="4">
        <f>0.048*10</f>
        <v/>
      </c>
      <c r="F14" s="4" t="n"/>
      <c r="G14" s="4" t="n"/>
      <c r="H14" s="4">
        <f>E14*($B$41*20.5)</f>
        <v/>
      </c>
      <c r="I14" s="4" t="n"/>
      <c r="J14" s="4" t="inlineStr">
        <is>
          <t>2주</t>
        </is>
      </c>
      <c r="K14" s="4" t="inlineStr">
        <is>
          <t>B1 SKU 시</t>
        </is>
      </c>
    </row>
    <row r="15">
      <c r="A15" s="4" t="inlineStr">
        <is>
          <t>연계</t>
        </is>
      </c>
      <c r="B15" s="8" t="inlineStr">
        <is>
          <t>SCADA 수집 연계</t>
        </is>
      </c>
      <c r="C15" s="8" t="inlineStr">
        <is>
          <t>Node-RED 수집 플로우 구성·태그 매핑</t>
        </is>
      </c>
      <c r="D15" s="4" t="n"/>
      <c r="E15" s="4">
        <f>0.048*10</f>
        <v/>
      </c>
      <c r="F15" s="4">
        <f>0.048*5</f>
        <v/>
      </c>
      <c r="G15" s="4" t="n"/>
      <c r="H15" s="4">
        <f>E15*($B$41*20.5)</f>
        <v/>
      </c>
      <c r="I15" s="4">
        <f>F15*($B$42*20.5)</f>
        <v/>
      </c>
      <c r="J15" s="4" t="inlineStr">
        <is>
          <t>2주</t>
        </is>
      </c>
      <c r="K15" s="4" t="inlineStr"/>
    </row>
    <row r="16">
      <c r="A16" s="4" t="inlineStr"/>
      <c r="B16" s="8" t="inlineStr">
        <is>
          <t>알람 조건 엔진 구성</t>
        </is>
      </c>
      <c r="C16" s="8" t="inlineStr">
        <is>
          <t>수위/압력/펌프 조건검토 플로우 현장 임계 보정</t>
        </is>
      </c>
      <c r="D16" s="4" t="n"/>
      <c r="E16" s="4">
        <f>0.048*10</f>
        <v/>
      </c>
      <c r="F16" s="4" t="n"/>
      <c r="G16" s="4" t="n"/>
      <c r="H16" s="4">
        <f>E16*($B$41*20.5)</f>
        <v/>
      </c>
      <c r="I16" s="4" t="n"/>
      <c r="J16" s="4" t="inlineStr">
        <is>
          <t>2주</t>
        </is>
      </c>
      <c r="K16" s="4" t="inlineStr"/>
    </row>
    <row r="17">
      <c r="A17" s="4" t="inlineStr">
        <is>
          <t>시험·인수</t>
        </is>
      </c>
      <c r="B17" s="8" t="inlineStr">
        <is>
          <t>구축 완결성 검수</t>
        </is>
      </c>
      <c r="C17" s="8" t="inlineStr">
        <is>
          <t>검수 6종 warn 0 달성·품질 게이트 통과</t>
        </is>
      </c>
      <c r="D17" s="4" t="n"/>
      <c r="E17" s="4">
        <f>0.048*5</f>
        <v/>
      </c>
      <c r="F17" s="4" t="n"/>
      <c r="G17" s="4" t="n"/>
      <c r="H17" s="4">
        <f>E17*($B$41*20.5)</f>
        <v/>
      </c>
      <c r="I17" s="4" t="n"/>
      <c r="J17" s="4" t="inlineStr">
        <is>
          <t>1주</t>
        </is>
      </c>
      <c r="K17" s="4" t="inlineStr">
        <is>
          <t>인수 기준</t>
        </is>
      </c>
    </row>
    <row r="18">
      <c r="A18" s="4" t="inlineStr"/>
      <c r="B18" s="8" t="inlineStr">
        <is>
          <t>통합 시험</t>
        </is>
      </c>
      <c r="C18" s="8" t="inlineStr">
        <is>
          <t>채팅 스모크·알람 시나리오·통화(LTE) 시험</t>
        </is>
      </c>
      <c r="D18" s="4" t="n"/>
      <c r="E18" s="4">
        <f>0.048*5</f>
        <v/>
      </c>
      <c r="F18" s="4" t="n"/>
      <c r="G18" s="4" t="n"/>
      <c r="H18" s="4">
        <f>E18*($B$41*20.5)</f>
        <v/>
      </c>
      <c r="I18" s="4" t="n"/>
      <c r="J18" s="4" t="inlineStr">
        <is>
          <t>1주</t>
        </is>
      </c>
      <c r="K18" s="4" t="inlineStr"/>
    </row>
    <row r="19">
      <c r="A19" s="4" t="inlineStr"/>
      <c r="B19" s="8" t="inlineStr">
        <is>
          <t>교육·인수인계</t>
        </is>
      </c>
      <c r="C19" s="8" t="inlineStr">
        <is>
          <t>운영자 교육·운영 문서 인수</t>
        </is>
      </c>
      <c r="D19" s="4">
        <f>0.048*5</f>
        <v/>
      </c>
      <c r="E19" s="4" t="n"/>
      <c r="F19" s="4" t="n"/>
      <c r="G19" s="4">
        <f>D19*($B$40*20.5)</f>
        <v/>
      </c>
      <c r="H19" s="4" t="n"/>
      <c r="I19" s="4" t="n"/>
      <c r="J19" s="4" t="inlineStr">
        <is>
          <t>1주</t>
        </is>
      </c>
      <c r="K19" s="4" t="inlineStr"/>
    </row>
    <row r="20">
      <c r="A20" s="5" t="n"/>
      <c r="B20" s="5" t="inlineStr">
        <is>
          <t>합계</t>
        </is>
      </c>
      <c r="C20" s="5" t="n"/>
      <c r="D20" s="5">
        <f>SUM(D4:D19)</f>
        <v/>
      </c>
      <c r="E20" s="5">
        <f>SUM(E4:E19)</f>
        <v/>
      </c>
      <c r="F20" s="5">
        <f>SUM(F4:F19)</f>
        <v/>
      </c>
      <c r="G20" s="5">
        <f>SUM(G4:G19)</f>
        <v/>
      </c>
      <c r="H20" s="5">
        <f>SUM(H4:H19)</f>
        <v/>
      </c>
      <c r="I20" s="5">
        <f>SUM(I4:I19)</f>
        <v/>
      </c>
      <c r="J20" s="5" t="n"/>
      <c r="K20" s="5" t="n"/>
    </row>
    <row r="22">
      <c r="A22" s="4" t="inlineStr">
        <is>
          <t>직접인건비</t>
        </is>
      </c>
      <c r="B22" s="4" t="n"/>
      <c r="C22" s="4" t="inlineStr">
        <is>
          <t>설치·데이터 구축·연계·시험 엔지니어링 합계</t>
        </is>
      </c>
      <c r="D22" s="4" t="n"/>
      <c r="E22" s="4" t="n"/>
      <c r="F22" s="4" t="n"/>
      <c r="G22" s="4" t="n"/>
      <c r="H22" s="4">
        <f>G20+H20+I20</f>
        <v/>
      </c>
      <c r="I22" s="4" t="n"/>
      <c r="J22" s="4" t="n"/>
      <c r="K22" s="4" t="n"/>
    </row>
    <row r="23">
      <c r="A23" s="4" t="inlineStr">
        <is>
          <t>제경비</t>
        </is>
      </c>
      <c r="B23" s="4" t="n"/>
      <c r="C23" s="4" t="inlineStr">
        <is>
          <t>직접인건비의 110~120% (상한 120% 적용)</t>
        </is>
      </c>
      <c r="D23" s="4" t="n"/>
      <c r="E23" s="4" t="n"/>
      <c r="F23" s="4" t="n"/>
      <c r="G23" s="4" t="n"/>
      <c r="H23" s="4">
        <f>ROUND(H22*1.2,0)</f>
        <v/>
      </c>
      <c r="I23" s="4" t="n"/>
      <c r="J23" s="4" t="n"/>
      <c r="K23" s="4" t="n"/>
    </row>
    <row r="24">
      <c r="A24" s="4" t="inlineStr">
        <is>
          <t>기술료</t>
        </is>
      </c>
      <c r="B24" s="4" t="n"/>
      <c r="C24" s="4" t="inlineStr">
        <is>
          <t>(직접인건비+제경비)의 20~40% (하한 20% 적용)</t>
        </is>
      </c>
      <c r="D24" s="4" t="n"/>
      <c r="E24" s="4" t="n"/>
      <c r="F24" s="4" t="n"/>
      <c r="G24" s="4" t="n"/>
      <c r="H24" s="4">
        <f>ROUND((H22+H23)*0.2,0)</f>
        <v/>
      </c>
      <c r="I24" s="4" t="n"/>
      <c r="J24" s="4" t="n"/>
      <c r="K24" s="4" t="n"/>
    </row>
    <row r="25">
      <c r="A25" s="10" t="inlineStr">
        <is>
          <t>엔지니어링 총계 (부가세 별도)</t>
        </is>
      </c>
      <c r="B25" s="10" t="n"/>
      <c r="C25" s="10" t="n"/>
      <c r="D25" s="10" t="n"/>
      <c r="E25" s="10" t="n"/>
      <c r="F25" s="10" t="n"/>
      <c r="G25" s="10" t="n"/>
      <c r="H25" s="10">
        <f>H22+H23+H24</f>
        <v/>
      </c>
      <c r="I25" s="10" t="n"/>
      <c r="J25" s="10" t="n"/>
      <c r="K25" s="10" t="n"/>
    </row>
    <row r="39">
      <c r="A39" s="9" t="inlineStr">
        <is>
          <t>SW기술자 평균임금 공표 (2025)</t>
        </is>
      </c>
      <c r="C39" s="2" t="inlineStr">
        <is>
          <t>월 20.5일 기준 · 1일 = 0.048 M/M</t>
        </is>
      </c>
    </row>
    <row r="40">
      <c r="A40" s="4" t="inlineStr">
        <is>
          <t>IT지원기술자</t>
        </is>
      </c>
      <c r="B40" s="4" t="n">
        <v>245535</v>
      </c>
    </row>
    <row r="41">
      <c r="A41" s="4" t="inlineStr">
        <is>
          <t>응용SW개발자</t>
        </is>
      </c>
      <c r="B41" s="4" t="n">
        <v>337061</v>
      </c>
    </row>
    <row r="42">
      <c r="A42" s="4" t="inlineStr">
        <is>
          <t>정보시스템운용자</t>
        </is>
      </c>
      <c r="B42" s="4" t="n">
        <v>492943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2026-10-15T12:16:12Z</dcterms:created>
  <dcterms:modified xsi:type="dcterms:W3CDTF">2026-10-15T12:16:12Z</dcterms:modified>
</cp:coreProperties>
</file>